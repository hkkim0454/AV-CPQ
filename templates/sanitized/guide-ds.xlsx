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8_{38EB18FF-074E-49D2-8D53-420DFB280BF6}" xr6:coauthVersionLast="47" xr6:coauthVersionMax="47" xr10:uidLastSave="{00000000-0000-0000-0000-000000000000}"/>
  <bookViews>
    <workbookView xWindow="32811" yWindow="-103" windowWidth="33120" windowHeight="18000" tabRatio="823" xr2:uid="{00000000-000D-0000-FFFF-FFFF00000000}"/>
  </bookViews>
  <sheets>
    <sheet name="갑지" sheetId="1" r:id="rId1"/>
    <sheet name="세부내역" sheetId="2" r:id="rId2"/>
  </sheets>
  <definedNames>
    <definedName name="_xlnm.Print_Area" localSheetId="0">갑지!$A$1:$J$21</definedName>
    <definedName name="_xlnm.Print_Area" localSheetId="1">세부내역!$A$1:$L$27</definedName>
    <definedName name="_xlnm.Print_Titles" localSheetId="1">세부내역!$1:$3</definedName>
  </definedNames>
  <calcPr calcId="191029" fullCalcOnLoad="1"/>
  <customWorkbookViews>
    <customWorkbookView name="박수백 - 사용자 보기" guid="{1FA04683-E8B6-40FB-A56A-4A427B1A01C5}" mergeInterval="0" personalView="1" maximized="1" xWindow="-8" yWindow="-8" windowWidth="1936" windowHeight="1056" tabRatio="823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<sst xmlns="http://schemas.openxmlformats.org/spreadsheetml/2006/main" count="83" uniqueCount="83">
  <si>
    <t>합     계</t>
    <phoneticPr fontId="4" type="noConversion"/>
  </si>
  <si>
    <t>품     명</t>
    <phoneticPr fontId="4" type="noConversion"/>
  </si>
  <si>
    <t>단위</t>
    <phoneticPr fontId="4" type="noConversion"/>
  </si>
  <si>
    <t>금 액</t>
    <phoneticPr fontId="4" type="noConversion"/>
  </si>
  <si>
    <t>No.</t>
    <phoneticPr fontId="4" type="noConversion"/>
  </si>
  <si>
    <t>수량</t>
    <phoneticPr fontId="4" type="noConversion"/>
  </si>
  <si>
    <t>Ⅰ</t>
    <phoneticPr fontId="4" type="noConversion"/>
  </si>
  <si>
    <t>번호</t>
  </si>
  <si>
    <t>비 고</t>
    <phoneticPr fontId="4" type="noConversion"/>
  </si>
  <si>
    <t>단 가</t>
    <phoneticPr fontId="4" type="noConversion"/>
  </si>
  <si>
    <t>식</t>
  </si>
  <si>
    <t>재료비</t>
    <phoneticPr fontId="4" type="noConversion"/>
  </si>
  <si>
    <t>노무비</t>
    <phoneticPr fontId="4" type="noConversion"/>
  </si>
  <si>
    <t>식</t>
    <phoneticPr fontId="1" type="noConversion"/>
  </si>
  <si>
    <t>직접비 대비</t>
  </si>
  <si>
    <t>산재보험료</t>
  </si>
  <si>
    <t>고용보험료</t>
  </si>
  <si>
    <t>건강보험료</t>
  </si>
  <si>
    <t>연금보험료</t>
  </si>
  <si>
    <t>합 계</t>
    <phoneticPr fontId="4" type="noConversion"/>
  </si>
  <si>
    <t>공과잡비</t>
  </si>
  <si>
    <t>잡자재비</t>
    <phoneticPr fontId="16" type="noConversion"/>
  </si>
  <si>
    <t>식</t>
    <phoneticPr fontId="16" type="noConversion"/>
  </si>
  <si>
    <t xml:space="preserve">  규     격</t>
    <phoneticPr fontId="4" type="noConversion"/>
  </si>
  <si>
    <t>견   적   서</t>
    <phoneticPr fontId="4" type="noConversion"/>
  </si>
  <si>
    <t>아래와 같이 견적합니다.</t>
    <phoneticPr fontId="1" type="noConversion"/>
  </si>
  <si>
    <t>순위</t>
    <phoneticPr fontId="4" type="noConversion"/>
  </si>
  <si>
    <t>간접비</t>
    <phoneticPr fontId="4" type="noConversion"/>
  </si>
  <si>
    <t>노무비 대비</t>
  </si>
  <si>
    <t>직접비+간접노무비+산업안전관리비</t>
  </si>
  <si>
    <t>배관 기타자재</t>
  </si>
  <si>
    <t>배관자재40%</t>
    <phoneticPr fontId="1" type="noConversion"/>
  </si>
  <si>
    <t>직접비계</t>
  </si>
  <si>
    <t>자재비의 2%</t>
    <phoneticPr fontId="1" type="noConversion"/>
  </si>
  <si>
    <t>규   격</t>
    <phoneticPr fontId="4" type="noConversion"/>
  </si>
  <si>
    <t>간접비계</t>
    <phoneticPr fontId="4" type="noConversion"/>
  </si>
  <si>
    <t>합      계</t>
    <phoneticPr fontId="4" type="noConversion"/>
  </si>
  <si>
    <t>품   명</t>
    <phoneticPr fontId="1" type="noConversion"/>
  </si>
  <si>
    <t>건물이름, 위치 작성</t>
    <phoneticPr fontId="4" type="noConversion"/>
  </si>
  <si>
    <t>건명 타이틀</t>
    <phoneticPr fontId="1" type="noConversion"/>
  </si>
  <si>
    <t>세부내역 요약</t>
    <phoneticPr fontId="1" type="noConversion"/>
  </si>
  <si>
    <t xml:space="preserve"> - 네트워크 포설 제외, 전기공사 제외, 인테리어 제외...  등 의 비고내용 작성</t>
  </si>
  <si>
    <t>천원미만절사</t>
    <phoneticPr fontId="1" type="noConversion"/>
  </si>
  <si>
    <t>직접비</t>
    <phoneticPr fontId="4" type="noConversion"/>
  </si>
  <si>
    <t>1개월 이상 공사 限</t>
  </si>
  <si>
    <t>노인장기요양보험료</t>
  </si>
  <si>
    <t>퇴직공제부금비</t>
  </si>
  <si>
    <t>1억원 이상 공사 限</t>
  </si>
  <si>
    <t>간접노무비</t>
  </si>
  <si>
    <t>산업안전보건관리비</t>
  </si>
  <si>
    <t>견적일 :</t>
    <phoneticPr fontId="4" type="noConversion"/>
  </si>
  <si>
    <t>견적처 :</t>
    <phoneticPr fontId="4" type="noConversion"/>
  </si>
  <si>
    <t>견적명 :</t>
    <phoneticPr fontId="4" type="noConversion"/>
  </si>
  <si>
    <t>담당자 :</t>
    <phoneticPr fontId="4" type="noConversion"/>
  </si>
  <si>
    <t>Ⅱ</t>
    <phoneticPr fontId="4" type="noConversion"/>
  </si>
  <si>
    <t>금  액 :</t>
    <phoneticPr fontId="1" type="noConversion"/>
  </si>
  <si>
    <t>품목별
요율%</t>
    <phoneticPr fontId="4" type="noConversion"/>
  </si>
  <si>
    <t>할증</t>
    <phoneticPr fontId="4" type="noConversion"/>
  </si>
  <si>
    <t>통신관련기사</t>
  </si>
  <si>
    <t>통신케이블공</t>
    <phoneticPr fontId="16" type="noConversion"/>
  </si>
  <si>
    <t>내장공</t>
    <phoneticPr fontId="16" type="noConversion"/>
  </si>
  <si>
    <t>H/W시험사</t>
    <phoneticPr fontId="4" type="noConversion"/>
  </si>
  <si>
    <t>S/W시험사</t>
    <phoneticPr fontId="4" type="noConversion"/>
  </si>
  <si>
    <t>특별인부</t>
    <phoneticPr fontId="4" type="noConversion"/>
  </si>
  <si>
    <t>통신관련 기능사</t>
    <phoneticPr fontId="4" type="noConversion"/>
  </si>
  <si>
    <t>건축목공</t>
    <phoneticPr fontId="4" type="noConversion"/>
  </si>
  <si>
    <t>표준 단가</t>
    <phoneticPr fontId="16" type="noConversion"/>
  </si>
  <si>
    <t>M/D</t>
  </si>
  <si>
    <t>설  명</t>
    <phoneticPr fontId="4" type="noConversion"/>
  </si>
  <si>
    <t>제조사/구매처</t>
    <phoneticPr fontId="1" type="noConversion"/>
  </si>
  <si>
    <t>영업비고</t>
    <phoneticPr fontId="1" type="noConversion"/>
  </si>
  <si>
    <t>노무비</t>
    <phoneticPr fontId="1" type="noConversion"/>
  </si>
  <si>
    <t>노무비 대비</t>
    <phoneticPr fontId="1" type="noConversion"/>
  </si>
  <si>
    <t>통신관련산업기사</t>
    <phoneticPr fontId="1" type="noConversion"/>
  </si>
  <si>
    <t>통신설비공</t>
    <phoneticPr fontId="1" type="noConversion"/>
  </si>
  <si>
    <t>보통인부</t>
    <phoneticPr fontId="1" type="noConversion"/>
  </si>
  <si>
    <t>통신내선공</t>
    <phoneticPr fontId="1" type="noConversion"/>
  </si>
  <si>
    <t>무선안테나공</t>
    <phoneticPr fontId="1" type="noConversion"/>
  </si>
  <si>
    <t>저압케이블공</t>
    <phoneticPr fontId="1" type="noConversion"/>
  </si>
  <si>
    <t>내선전공</t>
    <phoneticPr fontId="1" type="noConversion"/>
  </si>
  <si>
    <t>플랜트기계설치공</t>
    <phoneticPr fontId="1" type="noConversion"/>
  </si>
  <si>
    <t>광케이블설치사</t>
    <phoneticPr fontId="1" type="noConversion"/>
  </si>
  <si>
    <t>26년 하반기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</si>
</sst>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;[Red]0"/>
    <numFmt numFmtId="177" formatCode="_-* #,##0.0_-;\-* #,##0.0_-;_-* &quot;-&quot;?_-;_-@_-"/>
    <numFmt numFmtId="178" formatCode="0.000%"/>
    <numFmt numFmtId="179" formatCode="_-* #,##0.00_-;\-* #,##0.00_-;_-* &quot;-&quot;_-;_-@_-"/>
  </numFmts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name val="굴림체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8"/>
      <name val="굴림체"/>
      <family val="3"/>
      <charset val="129"/>
    </font>
    <font>
      <b/>
      <sz val="9"/>
      <color rgb="FF0000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theme="0"/>
      <name val="굴림체"/>
      <family val="3"/>
      <charset val="129"/>
    </font>
    <font>
      <sz val="11"/>
      <name val="돋움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sz val="10"/>
      <color rgb="FF3333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32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0" fontId="25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/>
  </cellStyleXfs>
  <cellXfs count="24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/>
    <xf numFmtId="0" fontId="3" fillId="0" borderId="0" xfId="0" applyFont="1">
      <alignment vertical="center"/>
    </xf>
    <xf numFmtId="1" fontId="3" fillId="0" borderId="0" xfId="0" applyNumberFormat="1" applyFont="1" applyAlignment="1">
      <alignment horizontal="right" vertical="center"/>
    </xf>
    <xf numFmtId="0" fontId="9" fillId="0" borderId="0" xfId="0" applyFont="1">
      <alignment vertical="center"/>
    </xf>
    <xf numFmtId="176" fontId="3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1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/>
    <xf numFmtId="0" fontId="8" fillId="0" borderId="0" xfId="0" applyFont="1" applyAlignment="1">
      <alignment horizontal="center"/>
    </xf>
    <xf numFmtId="41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19" fillId="0" borderId="0" xfId="0" applyFont="1" applyAlignment="1">
      <alignment vertical="center" shrinkToFit="1"/>
    </xf>
    <xf numFmtId="0" fontId="13" fillId="0" borderId="0" xfId="0" applyFont="1">
      <alignment vertical="center"/>
    </xf>
    <xf numFmtId="41" fontId="13" fillId="0" borderId="4" xfId="0" applyNumberFormat="1" applyFont="1" applyBorder="1">
      <alignment vertical="center"/>
    </xf>
    <xf numFmtId="41" fontId="14" fillId="0" borderId="4" xfId="0" applyNumberFormat="1" applyFont="1" applyBorder="1">
      <alignment vertical="center"/>
    </xf>
    <xf numFmtId="41" fontId="13" fillId="0" borderId="0" xfId="0" applyNumberFormat="1" applyFont="1">
      <alignment vertical="center"/>
    </xf>
    <xf numFmtId="41" fontId="13" fillId="0" borderId="4" xfId="0" applyNumberFormat="1" applyFont="1" applyBorder="1" applyProtection="1">
      <alignment vertical="center"/>
      <protection locked="0"/>
    </xf>
    <xf numFmtId="42" fontId="13" fillId="0" borderId="4" xfId="0" applyNumberFormat="1" applyFont="1" applyBorder="1" applyAlignment="1" applyProtection="1">
      <alignment horizontal="left" vertical="center"/>
      <protection locked="0"/>
    </xf>
    <xf numFmtId="41" fontId="13" fillId="0" borderId="5" xfId="0" applyNumberFormat="1" applyFont="1" applyBorder="1">
      <alignment vertical="center"/>
    </xf>
    <xf numFmtId="0" fontId="13" fillId="0" borderId="0" xfId="0" applyFont="1" applyProtection="1">
      <alignment vertical="center"/>
      <protection locked="0"/>
    </xf>
    <xf numFmtId="0" fontId="8" fillId="0" borderId="32" xfId="0" applyFont="1" applyBorder="1" applyAlignment="1">
      <alignment horizontal="center" vertical="center"/>
    </xf>
    <xf numFmtId="0" fontId="8" fillId="0" borderId="33" xfId="0" quotePrefix="1" applyFont="1" applyBorder="1" applyAlignment="1">
      <alignment horizontal="center" vertical="center"/>
    </xf>
    <xf numFmtId="0" fontId="8" fillId="0" borderId="34" xfId="0" quotePrefix="1" applyFont="1" applyBorder="1" applyAlignment="1">
      <alignment horizontal="center" vertical="center"/>
    </xf>
    <xf numFmtId="0" fontId="8" fillId="0" borderId="35" xfId="0" quotePrefix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1" xfId="0" quotePrefix="1" applyFont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0" fontId="8" fillId="0" borderId="20" xfId="0" quotePrefix="1" applyFont="1" applyBorder="1" applyAlignment="1">
      <alignment horizontal="center" vertical="center"/>
    </xf>
    <xf numFmtId="41" fontId="8" fillId="0" borderId="30" xfId="0" applyNumberFormat="1" applyFont="1" applyBorder="1" applyAlignment="1">
      <alignment horizontal="left" vertical="center"/>
    </xf>
    <xf numFmtId="0" fontId="8" fillId="0" borderId="36" xfId="0" applyFont="1" applyBorder="1" applyAlignment="1">
      <alignment horizontal="center" vertical="center"/>
    </xf>
    <xf numFmtId="41" fontId="8" fillId="0" borderId="36" xfId="0" applyNumberFormat="1" applyFont="1" applyBorder="1" applyAlignment="1">
      <alignment horizontal="center" vertical="center"/>
    </xf>
    <xf numFmtId="41" fontId="8" fillId="0" borderId="37" xfId="0" applyNumberFormat="1" applyFont="1" applyBorder="1" applyAlignment="1">
      <alignment horizontal="center" vertical="center" wrapText="1"/>
    </xf>
    <xf numFmtId="41" fontId="13" fillId="0" borderId="5" xfId="0" applyNumberFormat="1" applyFont="1" applyBorder="1" applyProtection="1">
      <alignment vertical="center"/>
      <protection locked="0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4" xfId="0" applyFont="1" applyBorder="1" applyAlignment="1">
      <alignment horizontal="center" vertical="center"/>
    </xf>
    <xf numFmtId="41" fontId="8" fillId="0" borderId="11" xfId="0" applyNumberFormat="1" applyFont="1" applyBorder="1" applyAlignment="1">
      <alignment horizontal="center" vertical="center" wrapText="1"/>
    </xf>
    <xf numFmtId="0" fontId="6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/>
    <xf numFmtId="0" fontId="5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41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41" fontId="8" fillId="0" borderId="4" xfId="0" applyNumberFormat="1" applyFont="1" applyBorder="1" applyAlignment="1">
      <alignment horizontal="center" vertical="center"/>
    </xf>
    <xf numFmtId="41" fontId="13" fillId="0" borderId="27" xfId="0" applyNumberFormat="1" applyFont="1" applyBorder="1" applyAlignment="1" applyProtection="1">
      <alignment horizontal="center" vertical="center"/>
      <protection locked="0"/>
    </xf>
    <xf numFmtId="41" fontId="13" fillId="0" borderId="4" xfId="0" applyNumberFormat="1" applyFont="1" applyBorder="1" applyAlignment="1" applyProtection="1">
      <alignment horizontal="center" vertical="center"/>
      <protection locked="0"/>
    </xf>
    <xf numFmtId="41" fontId="13" fillId="0" borderId="4" xfId="0" quotePrefix="1" applyNumberFormat="1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41" fontId="13" fillId="0" borderId="4" xfId="0" applyNumberFormat="1" applyFont="1" applyBorder="1" applyAlignment="1">
      <alignment horizontal="center" vertical="center"/>
    </xf>
    <xf numFmtId="41" fontId="14" fillId="0" borderId="4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 applyProtection="1">
      <alignment horizontal="center" vertical="center"/>
      <protection locked="0"/>
    </xf>
    <xf numFmtId="41" fontId="14" fillId="0" borderId="4" xfId="0" applyNumberFormat="1" applyFont="1" applyBorder="1" applyAlignment="1">
      <alignment horizontal="left" vertical="center" shrinkToFit="1"/>
    </xf>
    <xf numFmtId="41" fontId="13" fillId="0" borderId="5" xfId="0" applyNumberFormat="1" applyFont="1" applyBorder="1" applyAlignment="1">
      <alignment horizontal="center" vertical="center"/>
    </xf>
    <xf numFmtId="41" fontId="13" fillId="0" borderId="4" xfId="0" applyNumberFormat="1" applyFont="1" applyBorder="1" applyAlignment="1" applyProtection="1">
      <alignment horizontal="left" vertical="center" wrapText="1"/>
      <protection locked="0"/>
    </xf>
    <xf numFmtId="0" fontId="13" fillId="0" borderId="1" xfId="0" quotePrefix="1" applyFont="1" applyBorder="1" applyAlignment="1" applyProtection="1">
      <alignment horizontal="center" vertical="center"/>
      <protection locked="0"/>
    </xf>
    <xf numFmtId="0" fontId="5" fillId="2" borderId="16" xfId="0" applyFont="1" applyFill="1" applyBorder="1" applyAlignment="1">
      <alignment horizontal="center" vertical="center"/>
    </xf>
    <xf numFmtId="41" fontId="5" fillId="2" borderId="17" xfId="0" applyNumberFormat="1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41" fontId="14" fillId="0" borderId="0" xfId="0" applyNumberFormat="1" applyFont="1">
      <alignment vertical="center"/>
    </xf>
    <xf numFmtId="42" fontId="13" fillId="0" borderId="5" xfId="0" applyNumberFormat="1" applyFont="1" applyBorder="1">
      <alignment vertical="center"/>
    </xf>
    <xf numFmtId="0" fontId="13" fillId="0" borderId="0" xfId="3" applyFont="1" applyAlignment="1">
      <alignment vertical="center"/>
    </xf>
    <xf numFmtId="41" fontId="14" fillId="0" borderId="4" xfId="0" quotePrefix="1" applyNumberFormat="1" applyFont="1" applyBorder="1" applyProtection="1">
      <alignment vertical="center"/>
      <protection locked="0"/>
    </xf>
    <xf numFmtId="41" fontId="14" fillId="0" borderId="4" xfId="0" applyNumberFormat="1" applyFont="1" applyBorder="1" applyAlignment="1" applyProtection="1">
      <alignment horizontal="left" vertical="center" shrinkToFit="1"/>
      <protection locked="0"/>
    </xf>
    <xf numFmtId="41" fontId="13" fillId="0" borderId="0" xfId="0" applyNumberFormat="1" applyFont="1" applyAlignment="1" applyProtection="1">
      <alignment horizontal="left" vertical="center"/>
      <protection locked="0"/>
    </xf>
    <xf numFmtId="42" fontId="13" fillId="0" borderId="4" xfId="0" applyNumberFormat="1" applyFont="1" applyBorder="1" applyProtection="1">
      <alignment vertical="center"/>
      <protection locked="0"/>
    </xf>
    <xf numFmtId="0" fontId="24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41" fontId="14" fillId="0" borderId="0" xfId="0" applyNumberFormat="1" applyFont="1" applyAlignment="1">
      <alignment horizontal="center" vertical="center"/>
    </xf>
    <xf numFmtId="41" fontId="13" fillId="0" borderId="4" xfId="0" applyNumberFormat="1" applyFont="1" applyBorder="1" applyAlignment="1" applyProtection="1">
      <alignment horizontal="left" vertical="center"/>
      <protection locked="0"/>
    </xf>
    <xf numFmtId="41" fontId="14" fillId="0" borderId="4" xfId="0" applyNumberFormat="1" applyFont="1" applyBorder="1" applyAlignment="1" applyProtection="1">
      <alignment horizontal="center" vertical="center"/>
      <protection locked="0"/>
    </xf>
    <xf numFmtId="0" fontId="13" fillId="0" borderId="1" xfId="0" quotePrefix="1" applyFont="1" applyBorder="1" applyAlignment="1">
      <alignment horizontal="center" vertical="center"/>
    </xf>
    <xf numFmtId="41" fontId="13" fillId="0" borderId="27" xfId="0" applyNumberFormat="1" applyFont="1" applyBorder="1" applyProtection="1">
      <alignment vertical="center"/>
      <protection locked="0"/>
    </xf>
    <xf numFmtId="0" fontId="13" fillId="0" borderId="5" xfId="0" applyFont="1" applyBorder="1" applyAlignment="1" applyProtection="1">
      <alignment horizontal="center" vertical="center" shrinkToFit="1"/>
      <protection locked="0"/>
    </xf>
    <xf numFmtId="41" fontId="13" fillId="0" borderId="5" xfId="0" applyNumberFormat="1" applyFont="1" applyBorder="1" applyAlignment="1" applyProtection="1">
      <alignment horizontal="center" vertical="center"/>
      <protection locked="0"/>
    </xf>
    <xf numFmtId="41" fontId="12" fillId="0" borderId="27" xfId="0" applyNumberFormat="1" applyFont="1" applyBorder="1" applyAlignment="1" applyProtection="1">
      <alignment horizontal="left" vertical="center"/>
      <protection locked="0"/>
    </xf>
    <xf numFmtId="41" fontId="12" fillId="0" borderId="27" xfId="0" applyNumberFormat="1" applyFont="1" applyBorder="1" applyAlignment="1" applyProtection="1">
      <alignment horizontal="left" vertical="center" wrapText="1"/>
      <protection locked="0"/>
    </xf>
    <xf numFmtId="41" fontId="13" fillId="0" borderId="27" xfId="0" applyNumberFormat="1" applyFont="1" applyBorder="1" applyAlignment="1" applyProtection="1">
      <alignment horizontal="center" vertical="center" shrinkToFit="1"/>
      <protection locked="0"/>
    </xf>
    <xf numFmtId="0" fontId="13" fillId="0" borderId="27" xfId="0" quotePrefix="1" applyFont="1" applyBorder="1" applyAlignment="1" applyProtection="1">
      <alignment horizontal="center" vertical="center" shrinkToFit="1"/>
      <protection locked="0"/>
    </xf>
    <xf numFmtId="41" fontId="14" fillId="0" borderId="28" xfId="0" applyNumberFormat="1" applyFont="1" applyBorder="1" applyAlignment="1" applyProtection="1">
      <alignment vertical="center" shrinkToFit="1"/>
      <protection locked="0"/>
    </xf>
    <xf numFmtId="41" fontId="14" fillId="0" borderId="4" xfId="0" applyNumberFormat="1" applyFont="1" applyBorder="1" applyProtection="1">
      <alignment vertical="center"/>
      <protection locked="0"/>
    </xf>
    <xf numFmtId="0" fontId="13" fillId="0" borderId="4" xfId="0" applyFont="1" applyBorder="1" applyAlignment="1" applyProtection="1">
      <alignment horizontal="center" vertical="center" shrinkToFit="1"/>
      <protection locked="0"/>
    </xf>
    <xf numFmtId="41" fontId="14" fillId="0" borderId="11" xfId="0" applyNumberFormat="1" applyFont="1" applyBorder="1" applyAlignment="1" applyProtection="1">
      <alignment vertical="center" shrinkToFit="1"/>
      <protection locked="0"/>
    </xf>
    <xf numFmtId="178" fontId="13" fillId="0" borderId="4" xfId="0" applyNumberFormat="1" applyFont="1" applyBorder="1" applyAlignment="1" applyProtection="1">
      <alignment horizontal="center" vertical="center" shrinkToFit="1"/>
      <protection locked="0"/>
    </xf>
    <xf numFmtId="177" fontId="13" fillId="0" borderId="4" xfId="0" applyNumberFormat="1" applyFont="1" applyBorder="1" applyProtection="1">
      <alignment vertical="center"/>
      <protection locked="0"/>
    </xf>
    <xf numFmtId="41" fontId="13" fillId="0" borderId="4" xfId="0" applyNumberFormat="1" applyFont="1" applyBorder="1" applyAlignment="1" applyProtection="1">
      <alignment vertical="center" wrapText="1"/>
      <protection locked="0"/>
    </xf>
    <xf numFmtId="177" fontId="13" fillId="0" borderId="5" xfId="0" applyNumberFormat="1" applyFont="1" applyBorder="1" applyProtection="1">
      <alignment vertical="center"/>
      <protection locked="0"/>
    </xf>
    <xf numFmtId="41" fontId="13" fillId="0" borderId="5" xfId="0" applyNumberFormat="1" applyFont="1" applyBorder="1" applyAlignment="1" applyProtection="1">
      <alignment horizontal="left" vertical="center" shrinkToFit="1"/>
      <protection locked="0"/>
    </xf>
    <xf numFmtId="178" fontId="13" fillId="0" borderId="5" xfId="0" applyNumberFormat="1" applyFont="1" applyBorder="1" applyAlignment="1" applyProtection="1">
      <alignment horizontal="center" vertical="center" shrinkToFit="1"/>
      <protection locked="0"/>
    </xf>
    <xf numFmtId="41" fontId="13" fillId="0" borderId="0" xfId="3" applyNumberFormat="1" applyFont="1" applyAlignment="1">
      <alignment horizontal="left" vertical="center" wrapText="1"/>
    </xf>
    <xf numFmtId="41" fontId="14" fillId="0" borderId="5" xfId="0" applyNumberFormat="1" applyFont="1" applyBorder="1" applyAlignment="1">
      <alignment vertical="center" shrinkToFit="1"/>
    </xf>
    <xf numFmtId="41" fontId="14" fillId="0" borderId="5" xfId="0" applyNumberFormat="1" applyFont="1" applyBorder="1" applyAlignment="1" applyProtection="1">
      <alignment horizontal="right" vertical="center"/>
      <protection locked="0"/>
    </xf>
    <xf numFmtId="41" fontId="13" fillId="0" borderId="11" xfId="1" applyFont="1" applyBorder="1" applyAlignment="1" applyProtection="1">
      <alignment vertical="center" shrinkToFit="1"/>
      <protection locked="0"/>
    </xf>
    <xf numFmtId="41" fontId="18" fillId="2" borderId="10" xfId="0" applyNumberFormat="1" applyFont="1" applyFill="1" applyBorder="1" applyAlignment="1" applyProtection="1">
      <alignment horizontal="center" vertical="center"/>
      <protection locked="0"/>
    </xf>
    <xf numFmtId="41" fontId="13" fillId="0" borderId="4" xfId="0" applyNumberFormat="1" applyFont="1" applyBorder="1" applyAlignment="1" applyProtection="1">
      <alignment horizontal="left" vertical="center" shrinkToFit="1"/>
      <protection locked="0"/>
    </xf>
    <xf numFmtId="41" fontId="14" fillId="0" borderId="11" xfId="0" applyNumberFormat="1" applyFont="1" applyBorder="1" applyAlignment="1" applyProtection="1">
      <alignment horizontal="center" vertical="center" shrinkToFit="1"/>
      <protection locked="0"/>
    </xf>
    <xf numFmtId="0" fontId="8" fillId="0" borderId="41" xfId="0" quotePrefix="1" applyFont="1" applyBorder="1" applyAlignment="1">
      <alignment horizontal="center" vertical="center"/>
    </xf>
    <xf numFmtId="0" fontId="13" fillId="0" borderId="41" xfId="0" quotePrefix="1" applyFont="1" applyBorder="1" applyAlignment="1" applyProtection="1">
      <alignment horizontal="center" vertical="center"/>
      <protection locked="0"/>
    </xf>
    <xf numFmtId="0" fontId="13" fillId="0" borderId="41" xfId="0" quotePrefix="1" applyFont="1" applyBorder="1" applyAlignment="1">
      <alignment horizontal="center" vertical="center"/>
    </xf>
    <xf numFmtId="0" fontId="17" fillId="3" borderId="1" xfId="0" quotePrefix="1" applyFont="1" applyFill="1" applyBorder="1" applyAlignment="1">
      <alignment horizontal="center" vertical="center"/>
    </xf>
    <xf numFmtId="41" fontId="17" fillId="3" borderId="4" xfId="0" applyNumberFormat="1" applyFont="1" applyFill="1" applyBorder="1">
      <alignment vertical="center"/>
    </xf>
    <xf numFmtId="41" fontId="12" fillId="0" borderId="4" xfId="0" applyNumberFormat="1" applyFont="1" applyBorder="1" applyAlignment="1">
      <alignment vertical="center" shrinkToFit="1"/>
    </xf>
    <xf numFmtId="41" fontId="12" fillId="0" borderId="4" xfId="0" applyNumberFormat="1" applyFont="1" applyBorder="1" applyAlignment="1">
      <alignment horizontal="center" vertical="center"/>
    </xf>
    <xf numFmtId="41" fontId="12" fillId="0" borderId="4" xfId="0" applyNumberFormat="1" applyFont="1" applyBorder="1">
      <alignment vertical="center"/>
    </xf>
    <xf numFmtId="41" fontId="18" fillId="0" borderId="11" xfId="0" applyNumberFormat="1" applyFont="1" applyBorder="1" applyAlignment="1">
      <alignment horizontal="center" vertical="center"/>
    </xf>
    <xf numFmtId="41" fontId="15" fillId="0" borderId="38" xfId="0" applyNumberFormat="1" applyFont="1" applyBorder="1" applyAlignment="1" applyProtection="1">
      <alignment horizontal="left" vertical="center" wrapText="1"/>
      <protection locked="0" hidden="1"/>
    </xf>
    <xf numFmtId="41" fontId="15" fillId="0" borderId="11" xfId="0" applyNumberFormat="1" applyFont="1" applyBorder="1" applyAlignment="1">
      <alignment horizontal="center" vertical="center"/>
    </xf>
    <xf numFmtId="41" fontId="15" fillId="0" borderId="11" xfId="0" applyNumberFormat="1" applyFont="1" applyBorder="1" applyAlignment="1" applyProtection="1">
      <alignment horizontal="center" vertical="center" wrapText="1"/>
      <protection locked="0" hidden="1"/>
    </xf>
    <xf numFmtId="41" fontId="14" fillId="0" borderId="38" xfId="0" applyNumberFormat="1" applyFont="1" applyBorder="1" applyAlignment="1" applyProtection="1">
      <alignment horizontal="center" vertical="center" shrinkToFit="1"/>
      <protection locked="0"/>
    </xf>
    <xf numFmtId="0" fontId="6" fillId="0" borderId="0" xfId="0" quotePrefix="1" applyFont="1" applyAlignment="1">
      <alignment horizontal="left" vertical="center"/>
    </xf>
    <xf numFmtId="0" fontId="6" fillId="4" borderId="0" xfId="0" applyFont="1" applyFill="1">
      <alignment vertical="center"/>
    </xf>
    <xf numFmtId="41" fontId="5" fillId="0" borderId="27" xfId="0" applyNumberFormat="1" applyFont="1" applyBorder="1" applyAlignment="1">
      <alignment horizontal="left" vertical="center"/>
    </xf>
    <xf numFmtId="41" fontId="8" fillId="0" borderId="4" xfId="0" applyNumberFormat="1" applyFont="1" applyBorder="1" applyAlignment="1">
      <alignment horizontal="left" vertical="center"/>
    </xf>
    <xf numFmtId="0" fontId="12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7" fillId="0" borderId="0" xfId="0" quotePrefix="1" applyFont="1">
      <alignment vertical="center"/>
    </xf>
    <xf numFmtId="41" fontId="17" fillId="0" borderId="27" xfId="0" applyNumberFormat="1" applyFont="1" applyBorder="1" applyAlignment="1" applyProtection="1">
      <alignment horizontal="left" vertical="center" wrapText="1"/>
      <protection locked="0"/>
    </xf>
    <xf numFmtId="41" fontId="17" fillId="0" borderId="4" xfId="0" applyNumberFormat="1" applyFont="1" applyBorder="1" applyAlignment="1">
      <alignment vertical="center" shrinkToFit="1"/>
    </xf>
    <xf numFmtId="42" fontId="15" fillId="0" borderId="4" xfId="0" applyNumberFormat="1" applyFont="1" applyBorder="1" applyProtection="1">
      <alignment vertical="center"/>
      <protection locked="0"/>
    </xf>
    <xf numFmtId="41" fontId="15" fillId="0" borderId="4" xfId="0" applyNumberFormat="1" applyFont="1" applyBorder="1" applyAlignment="1" applyProtection="1">
      <alignment horizontal="left" vertical="center"/>
      <protection locked="0"/>
    </xf>
    <xf numFmtId="41" fontId="15" fillId="0" borderId="4" xfId="0" applyNumberFormat="1" applyFont="1" applyBorder="1" applyAlignment="1">
      <alignment horizontal="left" vertical="center" shrinkToFit="1"/>
    </xf>
    <xf numFmtId="41" fontId="15" fillId="0" borderId="4" xfId="0" applyNumberFormat="1" applyFont="1" applyBorder="1" applyAlignment="1" applyProtection="1">
      <alignment horizontal="left" vertical="center" shrinkToFit="1"/>
      <protection locked="0"/>
    </xf>
    <xf numFmtId="41" fontId="15" fillId="0" borderId="5" xfId="0" applyNumberFormat="1" applyFont="1" applyBorder="1" applyAlignment="1">
      <alignment vertical="center" shrinkToFit="1"/>
    </xf>
    <xf numFmtId="41" fontId="15" fillId="0" borderId="4" xfId="0" applyNumberFormat="1" applyFont="1" applyBorder="1" applyAlignment="1" applyProtection="1">
      <alignment horizontal="left" vertical="center" wrapText="1"/>
      <protection locked="0"/>
    </xf>
    <xf numFmtId="41" fontId="15" fillId="0" borderId="5" xfId="0" applyNumberFormat="1" applyFont="1" applyBorder="1" applyAlignment="1" applyProtection="1">
      <alignment horizontal="left" vertical="center" shrinkToFit="1"/>
      <protection locked="0"/>
    </xf>
    <xf numFmtId="0" fontId="13" fillId="0" borderId="1" xfId="8" quotePrefix="1" applyFont="1" applyBorder="1" applyAlignment="1">
      <alignment horizontal="center" vertical="center"/>
    </xf>
    <xf numFmtId="42" fontId="13" fillId="0" borderId="4" xfId="8" applyNumberFormat="1" applyFont="1" applyBorder="1" applyAlignment="1">
      <alignment vertical="center"/>
    </xf>
    <xf numFmtId="41" fontId="13" fillId="0" borderId="4" xfId="8" applyNumberFormat="1" applyFont="1" applyBorder="1" applyAlignment="1">
      <alignment vertical="center"/>
    </xf>
    <xf numFmtId="41" fontId="15" fillId="0" borderId="4" xfId="8" applyNumberFormat="1" applyFont="1" applyBorder="1" applyAlignment="1">
      <alignment vertical="center"/>
    </xf>
    <xf numFmtId="41" fontId="13" fillId="0" borderId="4" xfId="8" applyNumberFormat="1" applyFont="1" applyBorder="1" applyAlignment="1">
      <alignment horizontal="center" vertical="center"/>
    </xf>
    <xf numFmtId="0" fontId="13" fillId="0" borderId="4" xfId="8" applyFont="1" applyBorder="1" applyAlignment="1">
      <alignment horizontal="center" vertical="center"/>
    </xf>
    <xf numFmtId="41" fontId="14" fillId="0" borderId="4" xfId="8" applyNumberFormat="1" applyFont="1" applyBorder="1" applyAlignment="1">
      <alignment horizontal="center" vertical="center"/>
    </xf>
    <xf numFmtId="41" fontId="15" fillId="0" borderId="11" xfId="8" applyNumberFormat="1" applyFont="1" applyBorder="1" applyAlignment="1">
      <alignment horizontal="center" vertical="center"/>
    </xf>
    <xf numFmtId="49" fontId="13" fillId="0" borderId="0" xfId="8" applyNumberFormat="1" applyFont="1" applyAlignment="1">
      <alignment horizontal="left" vertical="center" wrapText="1"/>
    </xf>
    <xf numFmtId="9" fontId="15" fillId="0" borderId="10" xfId="8" applyNumberFormat="1" applyFont="1" applyBorder="1" applyAlignment="1">
      <alignment horizontal="center" vertical="center"/>
    </xf>
    <xf numFmtId="9" fontId="29" fillId="0" borderId="10" xfId="8" applyNumberFormat="1" applyFont="1" applyBorder="1" applyAlignment="1">
      <alignment vertical="center"/>
    </xf>
    <xf numFmtId="41" fontId="13" fillId="0" borderId="10" xfId="8" applyNumberFormat="1" applyFont="1" applyBorder="1" applyAlignment="1">
      <alignment horizontal="center" vertical="center"/>
    </xf>
    <xf numFmtId="179" fontId="13" fillId="0" borderId="10" xfId="8" applyNumberFormat="1" applyFont="1" applyBorder="1" applyAlignment="1">
      <alignment vertical="center"/>
    </xf>
    <xf numFmtId="41" fontId="13" fillId="0" borderId="10" xfId="8" applyNumberFormat="1" applyFont="1" applyBorder="1" applyAlignment="1">
      <alignment vertical="center" shrinkToFit="1"/>
    </xf>
    <xf numFmtId="179" fontId="13" fillId="0" borderId="10" xfId="8" applyNumberFormat="1" applyFont="1" applyBorder="1" applyAlignment="1">
      <alignment vertical="center" shrinkToFit="1"/>
    </xf>
    <xf numFmtId="0" fontId="13" fillId="0" borderId="10" xfId="8" applyFont="1" applyBorder="1" applyAlignment="1">
      <alignment vertical="center"/>
    </xf>
    <xf numFmtId="0" fontId="13" fillId="0" borderId="0" xfId="8" applyFont="1" applyAlignment="1">
      <alignment vertical="center"/>
    </xf>
    <xf numFmtId="41" fontId="14" fillId="0" borderId="10" xfId="8" applyNumberFormat="1" applyFont="1" applyBorder="1" applyAlignment="1">
      <alignment horizontal="center" vertical="center"/>
    </xf>
    <xf numFmtId="49" fontId="14" fillId="0" borderId="10" xfId="8" applyNumberFormat="1" applyFont="1" applyBorder="1" applyAlignment="1">
      <alignment horizontal="left" vertical="center"/>
    </xf>
    <xf numFmtId="41" fontId="24" fillId="0" borderId="0" xfId="0" applyNumberFormat="1" applyFont="1" applyAlignment="1">
      <alignment horizontal="left"/>
    </xf>
    <xf numFmtId="41" fontId="14" fillId="0" borderId="42" xfId="8" applyNumberFormat="1" applyFont="1" applyBorder="1" applyAlignment="1">
      <alignment horizontal="left" vertical="center"/>
    </xf>
    <xf numFmtId="41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10" xfId="0" applyFont="1" applyBorder="1" applyProtection="1">
      <alignment vertical="center"/>
      <protection locked="0"/>
    </xf>
    <xf numFmtId="0" fontId="14" fillId="0" borderId="10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0" xfId="0" applyFont="1" applyBorder="1" applyProtection="1">
      <alignment vertical="center"/>
      <protection locked="0"/>
    </xf>
    <xf numFmtId="41" fontId="14" fillId="0" borderId="42" xfId="0" applyNumberFormat="1" applyFont="1" applyBorder="1" applyAlignment="1" applyProtection="1">
      <alignment horizontal="left" vertical="center"/>
      <protection locked="0"/>
    </xf>
    <xf numFmtId="41" fontId="14" fillId="0" borderId="42" xfId="0" applyNumberFormat="1" applyFont="1" applyBorder="1" applyAlignment="1">
      <alignment horizontal="left" vertical="center"/>
    </xf>
    <xf numFmtId="41" fontId="13" fillId="0" borderId="42" xfId="0" applyNumberFormat="1" applyFont="1" applyBorder="1" applyAlignment="1">
      <alignment horizontal="left" vertical="center"/>
    </xf>
    <xf numFmtId="41" fontId="13" fillId="0" borderId="42" xfId="0" applyNumberFormat="1" applyFont="1" applyBorder="1" applyAlignment="1">
      <alignment horizontal="left" vertical="center" wrapText="1"/>
    </xf>
    <xf numFmtId="41" fontId="13" fillId="0" borderId="42" xfId="5" applyFont="1" applyBorder="1" applyAlignment="1">
      <alignment horizontal="left" vertical="center"/>
    </xf>
    <xf numFmtId="41" fontId="13" fillId="0" borderId="42" xfId="0" applyNumberFormat="1" applyFont="1" applyBorder="1" applyAlignment="1" applyProtection="1">
      <alignment horizontal="left" vertical="center"/>
      <protection locked="0"/>
    </xf>
    <xf numFmtId="41" fontId="13" fillId="0" borderId="42" xfId="0" applyNumberFormat="1" applyFont="1" applyBorder="1" applyAlignment="1">
      <alignment horizontal="left" vertical="center" shrinkToFit="1"/>
    </xf>
    <xf numFmtId="9" fontId="29" fillId="0" borderId="10" xfId="8" applyNumberFormat="1" applyFont="1" applyBorder="1" applyAlignment="1">
      <alignment horizontal="center" vertical="center"/>
    </xf>
    <xf numFmtId="179" fontId="13" fillId="0" borderId="10" xfId="8" applyNumberFormat="1" applyFont="1" applyBorder="1" applyAlignment="1">
      <alignment horizontal="center" vertical="center"/>
    </xf>
    <xf numFmtId="43" fontId="13" fillId="0" borderId="10" xfId="8" applyNumberFormat="1" applyFont="1" applyBorder="1" applyAlignment="1">
      <alignment horizontal="center" vertical="center"/>
    </xf>
    <xf numFmtId="0" fontId="13" fillId="0" borderId="4" xfId="0" applyFont="1" applyBorder="1" applyProtection="1">
      <alignment vertical="center"/>
      <protection locked="0"/>
    </xf>
    <xf numFmtId="41" fontId="13" fillId="5" borderId="4" xfId="0" applyNumberFormat="1" applyFont="1" applyFill="1" applyBorder="1" applyProtection="1">
      <alignment vertical="center"/>
      <protection locked="0"/>
    </xf>
    <xf numFmtId="41" fontId="13" fillId="0" borderId="4" xfId="0" applyNumberFormat="1" applyFont="1" applyBorder="1" applyProtection="1">
      <alignment vertical="center"/>
      <protection hidden="1"/>
    </xf>
    <xf numFmtId="41" fontId="13" fillId="5" borderId="4" xfId="0" applyNumberFormat="1" applyFont="1" applyFill="1" applyBorder="1">
      <alignment vertical="center"/>
    </xf>
    <xf numFmtId="41" fontId="13" fillId="0" borderId="4" xfId="0" applyNumberFormat="1" applyFont="1" applyBorder="1" applyAlignment="1" applyProtection="1">
      <alignment horizontal="center" vertical="center" shrinkToFit="1"/>
      <protection locked="0"/>
    </xf>
    <xf numFmtId="0" fontId="14" fillId="0" borderId="4" xfId="0" applyFont="1" applyBorder="1" applyAlignment="1" applyProtection="1">
      <alignment horizontal="center" vertical="center" shrinkToFit="1"/>
      <protection locked="0"/>
    </xf>
    <xf numFmtId="178" fontId="13" fillId="6" borderId="4" xfId="0" applyNumberFormat="1" applyFont="1" applyFill="1" applyBorder="1" applyAlignment="1" applyProtection="1">
      <alignment horizontal="center" vertical="center" shrinkToFit="1"/>
      <protection locked="0"/>
    </xf>
    <xf numFmtId="178" fontId="14" fillId="6" borderId="4" xfId="0" applyNumberFormat="1" applyFont="1" applyFill="1" applyBorder="1" applyAlignment="1" applyProtection="1">
      <alignment horizontal="center" vertical="center" shrinkToFit="1"/>
      <protection locked="0"/>
    </xf>
    <xf numFmtId="0" fontId="5" fillId="7" borderId="10" xfId="0" applyFont="1" applyFill="1" applyBorder="1" applyAlignment="1">
      <alignment horizontal="center" vertical="center"/>
    </xf>
    <xf numFmtId="41" fontId="5" fillId="7" borderId="10" xfId="0" applyNumberFormat="1" applyFont="1" applyFill="1" applyBorder="1">
      <alignment vertical="center"/>
    </xf>
    <xf numFmtId="0" fontId="5" fillId="7" borderId="15" xfId="0" applyFont="1" applyFill="1" applyBorder="1" applyAlignment="1">
      <alignment horizontal="center" vertical="center"/>
    </xf>
    <xf numFmtId="41" fontId="12" fillId="7" borderId="24" xfId="0" applyNumberFormat="1" applyFont="1" applyFill="1" applyBorder="1" applyAlignment="1" applyProtection="1">
      <alignment horizontal="center" vertical="center"/>
      <protection locked="0"/>
    </xf>
    <xf numFmtId="41" fontId="17" fillId="7" borderId="24" xfId="0" applyNumberFormat="1" applyFont="1" applyFill="1" applyBorder="1" applyAlignment="1" applyProtection="1">
      <alignment horizontal="center" vertical="center"/>
      <protection locked="0"/>
    </xf>
    <xf numFmtId="0" fontId="12" fillId="7" borderId="24" xfId="0" applyFont="1" applyFill="1" applyBorder="1" applyAlignment="1" applyProtection="1">
      <alignment horizontal="center" vertical="center" shrinkToFit="1"/>
      <protection locked="0"/>
    </xf>
    <xf numFmtId="41" fontId="21" fillId="7" borderId="24" xfId="0" applyNumberFormat="1" applyFont="1" applyFill="1" applyBorder="1" applyAlignment="1" applyProtection="1">
      <alignment horizontal="center" vertical="center"/>
      <protection locked="0"/>
    </xf>
    <xf numFmtId="41" fontId="12" fillId="7" borderId="24" xfId="0" applyNumberFormat="1" applyFont="1" applyFill="1" applyBorder="1" applyAlignment="1">
      <alignment horizontal="center" vertical="center"/>
    </xf>
    <xf numFmtId="41" fontId="14" fillId="7" borderId="25" xfId="0" applyNumberFormat="1" applyFont="1" applyFill="1" applyBorder="1" applyAlignment="1" applyProtection="1">
      <alignment vertical="center" shrinkToFit="1"/>
      <protection locked="0"/>
    </xf>
    <xf numFmtId="41" fontId="17" fillId="8" borderId="10" xfId="0" applyNumberFormat="1" applyFont="1" applyFill="1" applyBorder="1" applyAlignment="1" applyProtection="1">
      <alignment horizontal="center" vertical="center"/>
      <protection locked="0"/>
    </xf>
    <xf numFmtId="41" fontId="12" fillId="8" borderId="10" xfId="0" applyNumberFormat="1" applyFont="1" applyFill="1" applyBorder="1" applyAlignment="1" applyProtection="1">
      <alignment horizontal="center" vertical="center" shrinkToFit="1"/>
      <protection locked="0"/>
    </xf>
    <xf numFmtId="0" fontId="12" fillId="8" borderId="10" xfId="0" quotePrefix="1" applyFont="1" applyFill="1" applyBorder="1" applyAlignment="1" applyProtection="1">
      <alignment horizontal="center" vertical="center" shrinkToFit="1"/>
      <protection locked="0"/>
    </xf>
    <xf numFmtId="41" fontId="21" fillId="8" borderId="10" xfId="0" applyNumberFormat="1" applyFont="1" applyFill="1" applyBorder="1" applyProtection="1">
      <alignment vertical="center"/>
      <protection locked="0"/>
    </xf>
    <xf numFmtId="41" fontId="12" fillId="8" borderId="10" xfId="0" applyNumberFormat="1" applyFont="1" applyFill="1" applyBorder="1" applyProtection="1">
      <alignment vertical="center"/>
      <protection locked="0"/>
    </xf>
    <xf numFmtId="41" fontId="12" fillId="8" borderId="10" xfId="0" applyNumberFormat="1" applyFont="1" applyFill="1" applyBorder="1">
      <alignment vertical="center"/>
    </xf>
    <xf numFmtId="41" fontId="14" fillId="8" borderId="15" xfId="0" applyNumberFormat="1" applyFont="1" applyFill="1" applyBorder="1" applyAlignment="1" applyProtection="1">
      <alignment vertical="center" shrinkToFit="1"/>
      <protection locked="0"/>
    </xf>
    <xf numFmtId="0" fontId="18" fillId="8" borderId="14" xfId="3" applyFont="1" applyFill="1" applyBorder="1" applyAlignment="1">
      <alignment horizontal="center" vertical="center"/>
    </xf>
    <xf numFmtId="0" fontId="17" fillId="8" borderId="14" xfId="3" applyFont="1" applyFill="1" applyBorder="1" applyAlignment="1">
      <alignment horizontal="center" vertical="center"/>
    </xf>
    <xf numFmtId="41" fontId="18" fillId="8" borderId="14" xfId="3" applyNumberFormat="1" applyFont="1" applyFill="1" applyBorder="1" applyAlignment="1">
      <alignment horizontal="center" vertical="center"/>
    </xf>
    <xf numFmtId="41" fontId="18" fillId="8" borderId="14" xfId="3" applyNumberFormat="1" applyFont="1" applyFill="1" applyBorder="1" applyAlignment="1">
      <alignment vertical="center"/>
    </xf>
    <xf numFmtId="41" fontId="18" fillId="8" borderId="39" xfId="3" applyNumberFormat="1" applyFont="1" applyFill="1" applyBorder="1" applyAlignment="1">
      <alignment horizontal="center" vertical="center"/>
    </xf>
    <xf numFmtId="41" fontId="12" fillId="0" borderId="0" xfId="0" applyNumberFormat="1" applyFont="1" applyAlignment="1" applyProtection="1">
      <alignment horizontal="left" vertical="center"/>
      <protection locked="0"/>
    </xf>
    <xf numFmtId="178" fontId="13" fillId="9" borderId="4" xfId="0" applyNumberFormat="1" applyFont="1" applyFill="1" applyBorder="1" applyAlignment="1" applyProtection="1">
      <alignment horizontal="center" vertical="center" shrinkToFit="1"/>
      <protection locked="0"/>
    </xf>
    <xf numFmtId="0" fontId="5" fillId="7" borderId="2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6" fillId="0" borderId="6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26" fillId="0" borderId="12" xfId="0" applyFont="1" applyBorder="1" applyAlignment="1">
      <alignment horizontal="left" vertical="center"/>
    </xf>
    <xf numFmtId="0" fontId="22" fillId="0" borderId="7" xfId="0" quotePrefix="1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41" fontId="13" fillId="0" borderId="10" xfId="8" applyNumberFormat="1" applyFont="1" applyBorder="1" applyAlignment="1">
      <alignment horizontal="center" vertical="center" shrinkToFit="1"/>
    </xf>
    <xf numFmtId="0" fontId="13" fillId="0" borderId="10" xfId="8" applyFont="1" applyBorder="1" applyAlignment="1">
      <alignment horizontal="center" vertical="center" shrinkToFit="1"/>
    </xf>
    <xf numFmtId="41" fontId="13" fillId="0" borderId="10" xfId="8" applyNumberFormat="1" applyFont="1" applyBorder="1" applyAlignment="1">
      <alignment horizontal="center" vertical="center"/>
    </xf>
    <xf numFmtId="41" fontId="17" fillId="2" borderId="17" xfId="0" applyNumberFormat="1" applyFont="1" applyFill="1" applyBorder="1" applyAlignment="1" applyProtection="1">
      <alignment horizontal="center" vertical="center" wrapText="1"/>
      <protection locked="0"/>
    </xf>
    <xf numFmtId="41" fontId="17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4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9" fontId="15" fillId="0" borderId="10" xfId="8" applyNumberFormat="1" applyFont="1" applyBorder="1" applyAlignment="1">
      <alignment horizontal="center" vertical="center" wrapText="1"/>
    </xf>
    <xf numFmtId="9" fontId="15" fillId="0" borderId="10" xfId="8" applyNumberFormat="1" applyFont="1" applyBorder="1" applyAlignment="1">
      <alignment horizontal="center" vertical="center"/>
    </xf>
    <xf numFmtId="41" fontId="12" fillId="7" borderId="23" xfId="0" applyNumberFormat="1" applyFont="1" applyFill="1" applyBorder="1" applyAlignment="1" applyProtection="1">
      <alignment horizontal="center" vertical="center"/>
      <protection locked="0"/>
    </xf>
    <xf numFmtId="41" fontId="12" fillId="7" borderId="24" xfId="0" applyNumberFormat="1" applyFont="1" applyFill="1" applyBorder="1" applyAlignment="1" applyProtection="1">
      <alignment horizontal="center" vertical="center"/>
      <protection locked="0"/>
    </xf>
    <xf numFmtId="41" fontId="12" fillId="8" borderId="20" xfId="0" applyNumberFormat="1" applyFont="1" applyFill="1" applyBorder="1" applyAlignment="1" applyProtection="1">
      <alignment horizontal="center" vertical="center"/>
      <protection locked="0"/>
    </xf>
    <xf numFmtId="41" fontId="12" fillId="8" borderId="10" xfId="0" applyNumberFormat="1" applyFont="1" applyFill="1" applyBorder="1" applyAlignment="1" applyProtection="1">
      <alignment horizontal="center" vertical="center"/>
      <protection locked="0"/>
    </xf>
    <xf numFmtId="0" fontId="18" fillId="8" borderId="20" xfId="3" applyFont="1" applyFill="1" applyBorder="1" applyAlignment="1">
      <alignment horizontal="center" vertical="center"/>
    </xf>
    <xf numFmtId="0" fontId="18" fillId="8" borderId="14" xfId="3" applyFont="1" applyFill="1" applyBorder="1" applyAlignment="1">
      <alignment horizontal="center" vertical="center"/>
    </xf>
    <xf numFmtId="0" fontId="23" fillId="0" borderId="19" xfId="3" applyFont="1" applyBorder="1" applyAlignment="1">
      <alignment vertical="center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41" fontId="12" fillId="2" borderId="17" xfId="0" applyNumberFormat="1" applyFont="1" applyFill="1" applyBorder="1" applyAlignment="1" applyProtection="1">
      <alignment horizontal="center" vertical="center"/>
      <protection locked="0"/>
    </xf>
    <xf numFmtId="41" fontId="12" fillId="2" borderId="10" xfId="0" applyNumberFormat="1" applyFont="1" applyFill="1" applyBorder="1" applyAlignment="1" applyProtection="1">
      <alignment horizontal="center" vertical="center"/>
      <protection locked="0"/>
    </xf>
    <xf numFmtId="41" fontId="12" fillId="2" borderId="17" xfId="0" applyNumberFormat="1" applyFont="1" applyFill="1" applyBorder="1" applyAlignment="1" applyProtection="1">
      <alignment horizontal="center" vertical="center" wrapText="1"/>
      <protection locked="0"/>
    </xf>
    <xf numFmtId="41" fontId="12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17" xfId="0" applyFont="1" applyFill="1" applyBorder="1" applyAlignment="1" applyProtection="1">
      <alignment horizontal="center" vertical="center" shrinkToFit="1"/>
      <protection locked="0"/>
    </xf>
    <xf numFmtId="0" fontId="12" fillId="2" borderId="10" xfId="0" applyFont="1" applyFill="1" applyBorder="1" applyAlignment="1" applyProtection="1">
      <alignment horizontal="center" vertical="center" shrinkToFit="1"/>
      <protection locked="0"/>
    </xf>
    <xf numFmtId="0" fontId="18" fillId="2" borderId="17" xfId="0" applyFont="1" applyFill="1" applyBorder="1" applyAlignment="1" applyProtection="1">
      <alignment horizontal="center" vertical="center" shrinkToFit="1"/>
      <protection locked="0"/>
    </xf>
    <xf numFmtId="0" fontId="18" fillId="2" borderId="10" xfId="0" applyFont="1" applyFill="1" applyBorder="1" applyAlignment="1" applyProtection="1">
      <alignment horizontal="center" vertical="center" shrinkToFit="1"/>
      <protection locked="0"/>
    </xf>
    <xf numFmtId="41" fontId="18" fillId="2" borderId="17" xfId="0" applyNumberFormat="1" applyFont="1" applyFill="1" applyBorder="1" applyAlignment="1" applyProtection="1">
      <alignment horizontal="center" vertical="center"/>
      <protection locked="0"/>
    </xf>
    <xf numFmtId="41" fontId="18" fillId="2" borderId="10" xfId="0" applyNumberFormat="1" applyFont="1" applyFill="1" applyBorder="1" applyAlignment="1" applyProtection="1">
      <alignment horizontal="center" vertical="center"/>
      <protection locked="0"/>
    </xf>
    <xf numFmtId="41" fontId="12" fillId="2" borderId="40" xfId="0" applyNumberFormat="1" applyFont="1" applyFill="1" applyBorder="1" applyAlignment="1" applyProtection="1">
      <alignment horizontal="center" vertical="center" shrinkToFit="1"/>
      <protection locked="0"/>
    </xf>
    <xf numFmtId="41" fontId="12" fillId="2" borderId="39" xfId="0" applyNumberFormat="1" applyFont="1" applyFill="1" applyBorder="1" applyAlignment="1" applyProtection="1">
      <alignment horizontal="center" vertical="center" shrinkToFit="1"/>
      <protection locked="0"/>
    </xf>
  </cellXfs>
  <cellStyles count="9">
    <cellStyle name="쉼표 [0]" xfId="1" builtinId="6"/>
    <cellStyle name="쉼표 [0] 2" xfId="5" xr:uid="{00000000-0005-0000-0000-000001000000}"/>
    <cellStyle name="쉼표 [0] 2 2" xfId="6" xr:uid="{00000000-0005-0000-0000-000002000000}"/>
    <cellStyle name="쉼표 [0] 3" xfId="7" xr:uid="{00000000-0005-0000-0000-000003000000}"/>
    <cellStyle name="표준" xfId="0" builtinId="0"/>
    <cellStyle name="표준 2" xfId="3" xr:uid="{00000000-0005-0000-0000-000005000000}"/>
    <cellStyle name="표준 2 2" xfId="4" xr:uid="{00000000-0005-0000-0000-000006000000}"/>
    <cellStyle name="표준 2 2 10" xfId="8" xr:uid="{55634E5A-1CD5-4796-9EB2-E0940C06CF85}"/>
    <cellStyle name="표준 3" xfId="2" xr:uid="{00000000-0005-0000-0000-00000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CC"/>
      <color rgb="FF5DD5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509781</xdr:colOff>
      <xdr:row>1</xdr:row>
      <xdr:rowOff>159079</xdr:rowOff>
    </xdr:from>
    <xdr:to>
      <xdr:col>9</xdr:col>
      <xdr:colOff>14095</xdr:colOff>
      <xdr:row>7</xdr:row>
      <xdr:rowOff>186031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A931060-E275-4B63-9E80-2BA96BB3A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94895" y="795893"/>
          <a:ext cx="3613671" cy="1855752"/>
        </a:xfrm>
        <a:prstGeom prst="rect">
          <a:avLst/>
        </a:prstGeom>
      </xdr:spPr>
    </xdr:pic>
    <xdr:clientData/>
  </xdr:twoCellAnchor>
  <xdr:twoCellAnchor>
    <xdr:from>
      <xdr:col>2</xdr:col>
      <xdr:colOff>1990725</xdr:colOff>
      <xdr:row>3</xdr:row>
      <xdr:rowOff>285750</xdr:rowOff>
    </xdr:from>
    <xdr:to>
      <xdr:col>4</xdr:col>
      <xdr:colOff>51266</xdr:colOff>
      <xdr:row>6</xdr:row>
      <xdr:rowOff>21293</xdr:rowOff>
    </xdr:to>
    <xdr:sp macro="" textlink="">
      <xdr:nvSpPr>
        <xdr:cNvPr id="3" name="말풍선: 모서리가 둥근 사각형 2">
          <a:extLst>
            <a:ext uri="{FF2B5EF4-FFF2-40B4-BE49-F238E27FC236}">
              <a16:creationId xmlns:a16="http://schemas.microsoft.com/office/drawing/2014/main" id="{8E640B7C-6451-4663-A928-2516688CA089}"/>
            </a:ext>
          </a:extLst>
        </xdr:cNvPr>
        <xdr:cNvSpPr/>
      </xdr:nvSpPr>
      <xdr:spPr>
        <a:xfrm>
          <a:off x="2695575" y="1528763"/>
          <a:ext cx="2118191" cy="649943"/>
        </a:xfrm>
        <a:prstGeom prst="wedgeRoundRectCallout">
          <a:avLst>
            <a:gd name="adj1" fmla="val -97258"/>
            <a:gd name="adj2" fmla="val 24569"/>
            <a:gd name="adj3" fmla="val 16667"/>
          </a:avLst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  <a:cs typeface="+mn-cs"/>
            </a:rPr>
            <a:t>견적서 담당자 이름표기 수정</a:t>
          </a:r>
          <a:endParaRPr lang="en-US" altLang="ko-KR" sz="1100" b="1">
            <a:solidFill>
              <a:sysClr val="windowText" lastClr="000000"/>
            </a:solidFill>
            <a:latin typeface="+mj-ea"/>
            <a:ea typeface="+mj-ea"/>
            <a:cs typeface="+mn-cs"/>
          </a:endParaRPr>
        </a:p>
        <a:p>
          <a:pPr marL="0" indent="0" algn="l"/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  <a:cs typeface="+mn-cs"/>
            </a:rPr>
            <a:t> - </a:t>
          </a:r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  <a:cs typeface="+mn-cs"/>
            </a:rPr>
            <a:t>성과 이름 붙여 쓰기</a:t>
          </a:r>
          <a:endParaRPr lang="en-US" altLang="ko-KR" sz="1100" b="1">
            <a:solidFill>
              <a:sysClr val="windowText" lastClr="000000"/>
            </a:solidFill>
            <a:latin typeface="+mj-ea"/>
            <a:ea typeface="+mj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15</xdr:row>
      <xdr:rowOff>233363</xdr:rowOff>
    </xdr:from>
    <xdr:to>
      <xdr:col>10</xdr:col>
      <xdr:colOff>320488</xdr:colOff>
      <xdr:row>23</xdr:row>
      <xdr:rowOff>256135</xdr:rowOff>
    </xdr:to>
    <xdr:sp macro="" textlink="">
      <xdr:nvSpPr>
        <xdr:cNvPr id="2" name="말풍선: 사각형 1">
          <a:extLst>
            <a:ext uri="{FF2B5EF4-FFF2-40B4-BE49-F238E27FC236}">
              <a16:creationId xmlns:a16="http://schemas.microsoft.com/office/drawing/2014/main" id="{C076432E-33EB-4F56-979B-421C749B0EC3}"/>
            </a:ext>
          </a:extLst>
        </xdr:cNvPr>
        <xdr:cNvSpPr/>
      </xdr:nvSpPr>
      <xdr:spPr>
        <a:xfrm>
          <a:off x="9418624" y="4267481"/>
          <a:ext cx="2735276" cy="2174301"/>
        </a:xfrm>
        <a:prstGeom prst="wedgeRectCallout">
          <a:avLst>
            <a:gd name="adj1" fmla="val -101575"/>
            <a:gd name="adj2" fmla="val -5844"/>
          </a:avLst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■변경기준 적용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_260727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일 부</a:t>
          </a:r>
          <a:endParaRPr lang="ko-KR" altLang="ko-KR">
            <a:effectLst/>
          </a:endParaRPr>
        </a:p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□</a:t>
          </a:r>
          <a:r>
            <a:rPr lang="ko-KR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연금보험료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- 1.283%</a:t>
          </a:r>
        </a:p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□</a:t>
          </a:r>
          <a:r>
            <a:rPr lang="ko-KR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건강보험료</a:t>
          </a:r>
          <a:endParaRPr lang="en-US" altLang="ko-KR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- 0.971%</a:t>
          </a:r>
        </a:p>
        <a:p>
          <a:r>
            <a:rPr lang="ko-KR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□노인장기요양보험료</a:t>
          </a:r>
          <a:endParaRPr lang="en-US" altLang="ko-KR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- 0.128%</a:t>
          </a:r>
          <a:endParaRPr lang="ko-KR" altLang="ko-KR">
            <a:effectLst/>
          </a:endParaRPr>
        </a:p>
      </xdr:txBody>
    </xdr:sp>
    <xdr:clientData/>
  </xdr:twoCellAnchor>
  <xdr:twoCellAnchor>
    <xdr:from>
      <xdr:col>13</xdr:col>
      <xdr:colOff>24894</xdr:colOff>
      <xdr:row>15</xdr:row>
      <xdr:rowOff>233363</xdr:rowOff>
    </xdr:from>
    <xdr:to>
      <xdr:col>14</xdr:col>
      <xdr:colOff>1184943</xdr:colOff>
      <xdr:row>23</xdr:row>
      <xdr:rowOff>256135</xdr:rowOff>
    </xdr:to>
    <xdr:sp macro="" textlink="">
      <xdr:nvSpPr>
        <xdr:cNvPr id="4" name="말풍선: 사각형 3">
          <a:extLst>
            <a:ext uri="{FF2B5EF4-FFF2-40B4-BE49-F238E27FC236}">
              <a16:creationId xmlns:a16="http://schemas.microsoft.com/office/drawing/2014/main" id="{96CC3B96-9312-6822-D49A-DAA503E6FB0B}"/>
            </a:ext>
          </a:extLst>
        </xdr:cNvPr>
        <xdr:cNvSpPr/>
      </xdr:nvSpPr>
      <xdr:spPr>
        <a:xfrm>
          <a:off x="15969263" y="4267481"/>
          <a:ext cx="2735276" cy="2174301"/>
        </a:xfrm>
        <a:prstGeom prst="wedgeRectCallout">
          <a:avLst>
            <a:gd name="adj1" fmla="val -101575"/>
            <a:gd name="adj2" fmla="val -5844"/>
          </a:avLst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■변경기준 적용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_250508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일 부</a:t>
          </a:r>
          <a:endParaRPr lang="ko-KR" altLang="ko-KR">
            <a:effectLst/>
          </a:endParaRPr>
        </a:p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□간접노무비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기축건물 개보수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4.860%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신축건물 적용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건설분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 : 3.2%</a:t>
          </a:r>
          <a:endParaRPr lang="ko-KR" altLang="ko-KR">
            <a:effectLst/>
          </a:endParaRPr>
        </a:p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□산업안전보건관리비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- 5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억 미만 기준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3.110%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- 5~50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억 미만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2.28%+4,325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천원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- 50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억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~800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억 미만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2.370%</a:t>
          </a:r>
          <a:endParaRPr lang="ko-KR" altLang="ko-K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"/>
  <sheetViews>
    <sheetView tabSelected="1" view="pageBreakPreview" zoomScaleNormal="100" zoomScaleSheetLayoutView="100" zoomScalePageLayoutView="85" workbookViewId="0"/>
  </sheetViews>
  <sheetFormatPr defaultRowHeight="17.600000000000001"/>
  <cols>
    <col min="1" max="1" width="1.640625" customWidth="1"/>
    <col min="2" max="2" width="7.640625" customWidth="1"/>
    <col min="3" max="4" width="26.640625" customWidth="1"/>
    <col min="5" max="6" width="8.640625" customWidth="1"/>
    <col min="7" max="8" width="16.640625" customWidth="1"/>
    <col min="9" max="9" width="20.640625" customWidth="1"/>
    <col min="10" max="10" width="1.640625" customWidth="1"/>
    <col min="12" max="12" width="12" bestFit="1" customWidth="1"/>
    <col min="13" max="14" width="12.7109375" bestFit="1" customWidth="1"/>
  </cols>
  <sheetData>
    <row r="1" spans="1:15" ht="50.15" customHeight="1">
      <c r="A1" s="1"/>
      <c r="B1" s="214" t="s">
        <v>24</v>
      </c>
      <c r="C1" s="214"/>
      <c r="D1" s="214"/>
      <c r="E1" s="214"/>
      <c r="F1" s="214"/>
      <c r="G1" s="214"/>
      <c r="H1" s="214"/>
      <c r="I1" s="214"/>
      <c r="J1" s="1"/>
    </row>
    <row r="2" spans="1:15" ht="24" customHeight="1">
      <c r="A2" s="1"/>
      <c r="B2" s="43" t="s">
        <v>4</v>
      </c>
      <c r="C2" s="121"/>
      <c r="D2" s="8"/>
      <c r="E2" s="8"/>
      <c r="F2" s="12"/>
      <c r="G2" s="15"/>
      <c r="H2" s="15"/>
      <c r="I2" s="15"/>
      <c r="J2" s="1"/>
    </row>
    <row r="3" spans="1:15" ht="24" customHeight="1">
      <c r="A3" s="1"/>
      <c r="B3" s="47" t="s">
        <v>50</v>
      </c>
      <c r="C3" s="121"/>
      <c r="D3" s="8"/>
      <c r="E3" s="8"/>
      <c r="F3" s="13"/>
      <c r="G3" s="13"/>
      <c r="H3" s="13"/>
      <c r="I3" s="15"/>
      <c r="J3" s="1"/>
    </row>
    <row r="4" spans="1:15" ht="24" customHeight="1">
      <c r="A4" s="1"/>
      <c r="B4" s="43" t="s">
        <v>51</v>
      </c>
      <c r="C4" s="121"/>
      <c r="D4" s="8"/>
      <c r="E4" s="8"/>
      <c r="F4" s="13"/>
      <c r="G4" s="15"/>
      <c r="H4" s="15"/>
      <c r="I4" s="15"/>
      <c r="J4" s="1"/>
    </row>
    <row r="5" spans="1:15" ht="24" customHeight="1">
      <c r="A5" s="1"/>
      <c r="B5" s="120" t="s">
        <v>52</v>
      </c>
      <c r="C5" s="121"/>
      <c r="D5" s="8"/>
      <c r="E5" s="8"/>
      <c r="F5" s="13"/>
      <c r="G5" s="15"/>
      <c r="H5" s="15"/>
      <c r="I5" s="15"/>
      <c r="J5" s="1"/>
    </row>
    <row r="6" spans="1:15" ht="24" customHeight="1">
      <c r="A6" s="1"/>
      <c r="B6" s="47" t="s">
        <v>53</v>
      </c>
      <c r="C6" s="121"/>
      <c r="D6" s="8"/>
      <c r="E6" s="8"/>
      <c r="F6" s="13"/>
      <c r="G6" s="15"/>
      <c r="H6" s="15"/>
      <c r="I6" s="15"/>
      <c r="J6" s="1"/>
    </row>
    <row r="7" spans="1:15" ht="24" customHeight="1">
      <c r="A7" s="1"/>
      <c r="B7" s="47" t="s">
        <v>25</v>
      </c>
      <c r="C7" s="48"/>
      <c r="D7" s="8"/>
      <c r="E7" s="8"/>
      <c r="F7" s="13"/>
      <c r="G7" s="15"/>
      <c r="H7" s="15"/>
      <c r="I7" s="15"/>
      <c r="J7" s="1"/>
    </row>
    <row r="8" spans="1:15" ht="24" customHeight="1" thickBot="1">
      <c r="A8" s="1"/>
      <c r="B8" s="126" t="s">
        <v>55</v>
      </c>
      <c r="C8" s="44">
        <f>"일금"&amp;NUMBERSTRING(H12,1)&amp;"원정(\"&amp;TEXT(H12,"###,##0")&amp;") V.A.T별도"</f>
      </c>
      <c r="D8" s="6"/>
      <c r="E8" s="6"/>
      <c r="F8" s="10"/>
      <c r="G8" s="8"/>
      <c r="H8" s="16"/>
      <c r="I8" s="16"/>
      <c r="J8" s="17"/>
      <c r="K8" s="1"/>
    </row>
    <row r="9" spans="1:15" ht="24" customHeight="1">
      <c r="A9" s="2"/>
      <c r="B9" s="66" t="s">
        <v>26</v>
      </c>
      <c r="C9" s="67" t="s">
        <v>1</v>
      </c>
      <c r="D9" s="67" t="s">
        <v>23</v>
      </c>
      <c r="E9" s="68" t="s">
        <v>2</v>
      </c>
      <c r="F9" s="68" t="s">
        <v>5</v>
      </c>
      <c r="G9" s="68" t="s">
        <v>3</v>
      </c>
      <c r="H9" s="68" t="s">
        <v>19</v>
      </c>
      <c r="I9" s="69" t="s">
        <v>8</v>
      </c>
      <c r="J9" s="2"/>
    </row>
    <row r="10" spans="1:15" ht="24" customHeight="1">
      <c r="A10" s="2"/>
      <c r="B10" s="49" t="s">
        <v>6</v>
      </c>
      <c r="C10" s="122" t="s">
        <v>38</v>
      </c>
      <c r="D10" s="50"/>
      <c r="E10" s="50"/>
      <c r="F10" s="50"/>
      <c r="G10" s="51"/>
      <c r="H10" s="51"/>
      <c r="I10" s="52"/>
      <c r="J10" s="2"/>
    </row>
    <row r="11" spans="1:15" ht="24" customHeight="1">
      <c r="A11" s="2"/>
      <c r="B11" s="107">
        <v>1</v>
      </c>
      <c r="C11" s="123" t="s">
        <v>39</v>
      </c>
      <c r="D11" s="45" t="s">
        <v>40</v>
      </c>
      <c r="E11" s="45" t="s">
        <v>13</v>
      </c>
      <c r="F11" s="45">
        <v>1</v>
      </c>
      <c r="G11" s="53">
        <f>세부내역!K27</f>
      </c>
      <c r="H11" s="53">
        <f>F11*G11</f>
      </c>
      <c r="I11" s="46"/>
      <c r="J11" s="2"/>
    </row>
    <row r="12" spans="1:15" ht="24" customHeight="1">
      <c r="A12" s="2"/>
      <c r="B12" s="204" t="s">
        <v>0</v>
      </c>
      <c r="C12" s="205"/>
      <c r="D12" s="205"/>
      <c r="E12" s="181"/>
      <c r="F12" s="181"/>
      <c r="G12" s="182"/>
      <c r="H12" s="182">
        <f>ROUNDDOWN(SUM(H11:H11),-3)</f>
      </c>
      <c r="I12" s="183" t="s">
        <v>42</v>
      </c>
      <c r="J12" s="2"/>
      <c r="L12" s="18"/>
      <c r="M12" s="18"/>
      <c r="N12" s="18"/>
    </row>
    <row r="13" spans="1:15" ht="24" customHeight="1">
      <c r="A13" s="2"/>
      <c r="B13" s="29"/>
      <c r="C13" s="30"/>
      <c r="D13" s="31"/>
      <c r="E13" s="31"/>
      <c r="F13" s="31"/>
      <c r="G13" s="31"/>
      <c r="H13" s="31"/>
      <c r="I13" s="32"/>
      <c r="J13" s="2"/>
      <c r="L13" s="18"/>
      <c r="M13" s="18"/>
      <c r="N13" s="18"/>
      <c r="O13" s="19"/>
    </row>
    <row r="14" spans="1:15" ht="24" customHeight="1">
      <c r="A14" s="2"/>
      <c r="B14" s="33"/>
      <c r="C14" s="34"/>
      <c r="D14" s="35"/>
      <c r="E14" s="35"/>
      <c r="F14" s="35"/>
      <c r="G14" s="35"/>
      <c r="H14" s="35"/>
      <c r="I14" s="36"/>
      <c r="J14" s="2"/>
      <c r="L14" s="18"/>
      <c r="M14" s="18"/>
      <c r="N14" s="18"/>
    </row>
    <row r="15" spans="1:15" ht="24" customHeight="1">
      <c r="A15" s="2"/>
      <c r="B15" s="33"/>
      <c r="C15" s="34"/>
      <c r="D15" s="35"/>
      <c r="E15" s="35"/>
      <c r="F15" s="35"/>
      <c r="G15" s="35"/>
      <c r="H15" s="35"/>
      <c r="I15" s="36"/>
      <c r="J15" s="2"/>
      <c r="L15" s="18"/>
      <c r="M15" s="18"/>
      <c r="N15" s="18"/>
    </row>
    <row r="16" spans="1:15" ht="24" customHeight="1">
      <c r="A16" s="2"/>
      <c r="B16" s="33"/>
      <c r="C16" s="34"/>
      <c r="D16" s="35"/>
      <c r="E16" s="35"/>
      <c r="F16" s="35"/>
      <c r="G16" s="35"/>
      <c r="H16" s="35"/>
      <c r="I16" s="36"/>
      <c r="J16" s="2"/>
      <c r="L16" s="18"/>
      <c r="M16" s="18"/>
      <c r="N16" s="18"/>
    </row>
    <row r="17" spans="1:14" ht="24" customHeight="1">
      <c r="A17" s="2"/>
      <c r="B17" s="33"/>
      <c r="C17" s="34"/>
      <c r="D17" s="35"/>
      <c r="E17" s="35"/>
      <c r="F17" s="35"/>
      <c r="G17" s="35"/>
      <c r="H17" s="35"/>
      <c r="I17" s="36"/>
      <c r="J17" s="2"/>
      <c r="L17" s="18"/>
      <c r="M17" s="18"/>
      <c r="N17" s="18"/>
    </row>
    <row r="18" spans="1:14" ht="24" customHeight="1">
      <c r="A18" s="2"/>
      <c r="B18" s="37"/>
      <c r="C18" s="38"/>
      <c r="D18" s="39"/>
      <c r="E18" s="39"/>
      <c r="F18" s="39"/>
      <c r="G18" s="40"/>
      <c r="H18" s="40"/>
      <c r="I18" s="41"/>
      <c r="J18" s="2"/>
    </row>
    <row r="19" spans="1:14" ht="24" customHeight="1">
      <c r="A19" s="2"/>
      <c r="B19" s="206" t="s">
        <v>8</v>
      </c>
      <c r="C19" s="208" t="s">
        <v>41</v>
      </c>
      <c r="D19" s="209"/>
      <c r="E19" s="209"/>
      <c r="F19" s="209"/>
      <c r="G19" s="209"/>
      <c r="H19" s="209"/>
      <c r="I19" s="210"/>
      <c r="J19" s="2"/>
    </row>
    <row r="20" spans="1:14" ht="24" customHeight="1" thickBot="1">
      <c r="A20" s="3"/>
      <c r="B20" s="207"/>
      <c r="C20" s="211"/>
      <c r="D20" s="212"/>
      <c r="E20" s="212"/>
      <c r="F20" s="212"/>
      <c r="G20" s="212"/>
      <c r="H20" s="212"/>
      <c r="I20" s="213"/>
      <c r="J20" s="3"/>
    </row>
    <row r="21" spans="1:14" ht="10" customHeight="1">
      <c r="A21" s="4"/>
      <c r="B21" s="5"/>
      <c r="C21" s="7"/>
      <c r="D21" s="9"/>
      <c r="E21" s="11"/>
      <c r="F21" s="14"/>
      <c r="G21" s="4"/>
      <c r="H21" s="4"/>
      <c r="I21" s="4"/>
      <c r="J21" s="20"/>
    </row>
    <row r="22" spans="1:14" ht="10.199999999999999" customHeight="1"/>
  </sheetData>
  <mergeCells count="5">
    <mergeCell ref="B12:D12"/>
    <mergeCell ref="B19:B20"/>
    <mergeCell ref="C19:I19"/>
    <mergeCell ref="C20:I20"/>
    <mergeCell ref="B1:I1"/>
  </mergeCells>
  <phoneticPr fontId="1" type="noConversion"/>
  <conditionalFormatting sqref="N17">
    <cfRule type="cellIs" dxfId="0" priority="3" operator="lessThan">
      <formula>0</formula>
    </cfRule>
  </conditionalFormatting>
  <printOptions horizontalCentered="1"/>
  <pageMargins left="0.11811023622047245" right="0.11811023622047245" top="0.74803149606299213" bottom="0.31496062992125984" header="0.31496062992125984" footer="0.15748031496062992"/>
  <pageSetup paperSize="9" scale="98" fitToHeight="0" orientation="landscape"/>
  <headerFooter scaleWithDoc="0">
    <oddFooter xml:space="preserve">&amp;C&amp;P / &amp;N&amp;R㈜서울영상테크    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A421"/>
  <sheetViews>
    <sheetView view="pageBreakPreview" zoomScale="85" zoomScaleNormal="100" zoomScaleSheetLayoutView="85" workbookViewId="0">
      <pane xSplit="6" ySplit="3" topLeftCell="G4" activePane="bottomRight" state="frozen"/>
      <selection pane="topRight"/>
      <selection pane="bottomLeft"/>
      <selection pane="bottomRight" sqref="A1:L1"/>
    </sheetView>
  </sheetViews>
  <sheetFormatPr defaultColWidth="9" defaultRowHeight="15" outlineLevelCol="1"/>
  <cols>
    <col min="1" max="1" width="5.640625" style="21" customWidth="1"/>
    <col min="2" max="3" width="28.640625" style="24" customWidth="1"/>
    <col min="4" max="4" width="28.640625" style="24" customWidth="1" outlineLevel="1"/>
    <col min="5" max="5" width="6.640625" style="21" customWidth="1"/>
    <col min="6" max="6" width="6.640625" style="78" customWidth="1"/>
    <col min="7" max="11" width="12.640625" style="70" customWidth="1"/>
    <col min="12" max="12" width="20.640625" style="79" customWidth="1"/>
    <col min="13" max="13" width="20.640625" style="157" customWidth="1"/>
    <col min="14" max="15" width="20.640625" style="21" customWidth="1"/>
    <col min="16" max="16" width="34.640625" style="21" customWidth="1"/>
    <col min="17" max="16384" width="9" style="21"/>
  </cols>
  <sheetData>
    <row r="1" spans="1:53" s="77" customFormat="1" ht="21" customHeight="1" thickBot="1">
      <c r="A1" s="230">
        <f>"▣ 공사명 : "&amp;갑지!C5</f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155"/>
    </row>
    <row r="2" spans="1:53" s="28" customFormat="1" ht="21" customHeight="1">
      <c r="A2" s="231" t="s">
        <v>7</v>
      </c>
      <c r="B2" s="233" t="s">
        <v>37</v>
      </c>
      <c r="C2" s="235" t="s">
        <v>34</v>
      </c>
      <c r="D2" s="218" t="s">
        <v>68</v>
      </c>
      <c r="E2" s="237" t="s">
        <v>2</v>
      </c>
      <c r="F2" s="239" t="s">
        <v>5</v>
      </c>
      <c r="G2" s="241" t="s">
        <v>11</v>
      </c>
      <c r="H2" s="241"/>
      <c r="I2" s="241" t="s">
        <v>12</v>
      </c>
      <c r="J2" s="241"/>
      <c r="K2" s="241" t="s">
        <v>19</v>
      </c>
      <c r="L2" s="243" t="s">
        <v>8</v>
      </c>
      <c r="M2" s="220" t="s">
        <v>69</v>
      </c>
      <c r="N2" s="221" t="s">
        <v>70</v>
      </c>
      <c r="O2" s="221" t="s">
        <v>71</v>
      </c>
      <c r="Q2" s="222" t="s">
        <v>56</v>
      </c>
      <c r="R2" s="170" t="s">
        <v>57</v>
      </c>
      <c r="S2" s="147" t="s">
        <v>82</v>
      </c>
      <c r="T2" s="215" t="s">
        <v>58</v>
      </c>
      <c r="U2" s="215"/>
      <c r="V2" s="215" t="s">
        <v>73</v>
      </c>
      <c r="W2" s="215"/>
      <c r="X2" s="215" t="s">
        <v>74</v>
      </c>
      <c r="Y2" s="215"/>
      <c r="Z2" s="215" t="s">
        <v>75</v>
      </c>
      <c r="AA2" s="215"/>
      <c r="AB2" s="215" t="s">
        <v>76</v>
      </c>
      <c r="AC2" s="215"/>
      <c r="AD2" s="215" t="s">
        <v>77</v>
      </c>
      <c r="AE2" s="215"/>
      <c r="AF2" s="215" t="s">
        <v>78</v>
      </c>
      <c r="AG2" s="215"/>
      <c r="AH2" s="215" t="s">
        <v>59</v>
      </c>
      <c r="AI2" s="215"/>
      <c r="AJ2" s="215" t="s">
        <v>79</v>
      </c>
      <c r="AK2" s="215"/>
      <c r="AL2" s="215" t="s">
        <v>80</v>
      </c>
      <c r="AM2" s="215"/>
      <c r="AN2" s="215" t="s">
        <v>60</v>
      </c>
      <c r="AO2" s="215"/>
      <c r="AP2" s="215" t="s">
        <v>81</v>
      </c>
      <c r="AQ2" s="215"/>
      <c r="AR2" s="215" t="s">
        <v>61</v>
      </c>
      <c r="AS2" s="215"/>
      <c r="AT2" s="215" t="s">
        <v>62</v>
      </c>
      <c r="AU2" s="215"/>
      <c r="AV2" s="215" t="s">
        <v>63</v>
      </c>
      <c r="AW2" s="215"/>
      <c r="AX2" s="216" t="s">
        <v>64</v>
      </c>
      <c r="AY2" s="216"/>
      <c r="AZ2" s="217" t="s">
        <v>65</v>
      </c>
      <c r="BA2" s="217"/>
    </row>
    <row r="3" spans="1:53" s="28" customFormat="1" ht="21" customHeight="1">
      <c r="A3" s="232"/>
      <c r="B3" s="234"/>
      <c r="C3" s="236"/>
      <c r="D3" s="219"/>
      <c r="E3" s="238"/>
      <c r="F3" s="240"/>
      <c r="G3" s="104" t="s">
        <v>9</v>
      </c>
      <c r="H3" s="104" t="s">
        <v>3</v>
      </c>
      <c r="I3" s="104" t="s">
        <v>9</v>
      </c>
      <c r="J3" s="104" t="s">
        <v>3</v>
      </c>
      <c r="K3" s="242"/>
      <c r="L3" s="244"/>
      <c r="M3" s="220"/>
      <c r="N3" s="221"/>
      <c r="O3" s="221"/>
      <c r="Q3" s="223"/>
      <c r="R3" s="170">
        <v>0</v>
      </c>
      <c r="S3" s="147" t="s">
        <v>66</v>
      </c>
      <c r="T3" s="171" t="s">
        <v>67</v>
      </c>
      <c r="U3" s="147">
        <v>324979</v>
      </c>
      <c r="V3" s="171" t="s">
        <v>67</v>
      </c>
      <c r="W3" s="147">
        <v>304662</v>
      </c>
      <c r="X3" s="171" t="s">
        <v>67</v>
      </c>
      <c r="Y3" s="147">
        <v>316875</v>
      </c>
      <c r="Z3" s="171" t="s">
        <v>67</v>
      </c>
      <c r="AA3" s="147">
        <v>172698</v>
      </c>
      <c r="AB3" s="171" t="s">
        <v>67</v>
      </c>
      <c r="AC3" s="147">
        <v>286219</v>
      </c>
      <c r="AD3" s="171" t="s">
        <v>67</v>
      </c>
      <c r="AE3" s="147">
        <v>360084</v>
      </c>
      <c r="AF3" s="171" t="s">
        <v>67</v>
      </c>
      <c r="AG3" s="147">
        <v>306274</v>
      </c>
      <c r="AH3" s="171" t="s">
        <v>67</v>
      </c>
      <c r="AI3" s="147">
        <v>438070</v>
      </c>
      <c r="AJ3" s="171" t="s">
        <v>67</v>
      </c>
      <c r="AK3" s="147">
        <v>276108</v>
      </c>
      <c r="AL3" s="171" t="s">
        <v>67</v>
      </c>
      <c r="AM3" s="147">
        <v>234041</v>
      </c>
      <c r="AN3" s="171" t="s">
        <v>67</v>
      </c>
      <c r="AO3" s="147">
        <v>258904</v>
      </c>
      <c r="AP3" s="171" t="s">
        <v>67</v>
      </c>
      <c r="AQ3" s="147">
        <v>471931</v>
      </c>
      <c r="AR3" s="171" t="s">
        <v>67</v>
      </c>
      <c r="AS3" s="147">
        <v>398279</v>
      </c>
      <c r="AT3" s="147" t="s">
        <v>67</v>
      </c>
      <c r="AU3" s="147">
        <v>446560</v>
      </c>
      <c r="AV3" s="171" t="s">
        <v>67</v>
      </c>
      <c r="AW3" s="147">
        <v>228717</v>
      </c>
      <c r="AX3" s="147" t="s">
        <v>67</v>
      </c>
      <c r="AY3" s="147">
        <v>250000</v>
      </c>
      <c r="AZ3" s="172" t="s">
        <v>67</v>
      </c>
      <c r="BA3" s="147">
        <v>282990</v>
      </c>
    </row>
    <row r="4" spans="1:53" s="28" customFormat="1" ht="21" customHeight="1">
      <c r="A4" s="125" t="s">
        <v>6</v>
      </c>
      <c r="B4" s="86" t="s">
        <v>43</v>
      </c>
      <c r="C4" s="87"/>
      <c r="D4" s="127"/>
      <c r="E4" s="88"/>
      <c r="F4" s="89"/>
      <c r="G4" s="54"/>
      <c r="H4" s="83"/>
      <c r="I4" s="83"/>
      <c r="J4" s="83"/>
      <c r="K4" s="83"/>
      <c r="L4" s="90"/>
      <c r="M4" s="163"/>
      <c r="N4" s="159"/>
      <c r="O4" s="159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2"/>
      <c r="AZ4" s="162"/>
      <c r="BA4" s="162"/>
    </row>
    <row r="5" spans="1:53" ht="21" customHeight="1">
      <c r="A5" s="110"/>
      <c r="B5" s="111"/>
      <c r="C5" s="112"/>
      <c r="D5" s="128"/>
      <c r="E5" s="113"/>
      <c r="F5" s="57"/>
      <c r="G5" s="58"/>
      <c r="H5" s="114"/>
      <c r="I5" s="22"/>
      <c r="J5" s="114"/>
      <c r="K5" s="22"/>
      <c r="L5" s="115"/>
      <c r="M5" s="164"/>
      <c r="N5" s="160"/>
      <c r="O5" s="160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</row>
    <row r="6" spans="1:53" s="152" customFormat="1" ht="21" customHeight="1">
      <c r="A6" s="136"/>
      <c r="B6" s="137"/>
      <c r="C6" s="138"/>
      <c r="D6" s="139"/>
      <c r="E6" s="140"/>
      <c r="F6" s="141"/>
      <c r="G6" s="142"/>
      <c r="H6" s="138"/>
      <c r="I6" s="138"/>
      <c r="J6" s="140"/>
      <c r="K6" s="138"/>
      <c r="L6" s="143"/>
      <c r="M6" s="156"/>
      <c r="N6" s="153"/>
      <c r="O6" s="154"/>
      <c r="P6" s="144"/>
      <c r="Q6" s="145"/>
      <c r="R6" s="146"/>
      <c r="S6" s="147"/>
      <c r="T6" s="148"/>
      <c r="U6" s="147"/>
      <c r="V6" s="148"/>
      <c r="W6" s="147"/>
      <c r="X6" s="148"/>
      <c r="Y6" s="147"/>
      <c r="Z6" s="148"/>
      <c r="AA6" s="147"/>
      <c r="AB6" s="149"/>
      <c r="AC6" s="147"/>
      <c r="AD6" s="150"/>
      <c r="AE6" s="147"/>
      <c r="AF6" s="150"/>
      <c r="AG6" s="147"/>
      <c r="AH6" s="150"/>
      <c r="AI6" s="147"/>
      <c r="AJ6" s="150"/>
      <c r="AK6" s="147"/>
      <c r="AL6" s="150"/>
      <c r="AM6" s="147"/>
      <c r="AN6" s="150"/>
      <c r="AO6" s="147"/>
      <c r="AP6" s="150"/>
      <c r="AQ6" s="147"/>
      <c r="AR6" s="150"/>
      <c r="AS6" s="147"/>
      <c r="AT6" s="150"/>
      <c r="AU6" s="147"/>
      <c r="AV6" s="150"/>
      <c r="AW6" s="147"/>
      <c r="AX6" s="149"/>
      <c r="AY6" s="147"/>
      <c r="AZ6" s="151"/>
      <c r="BA6" s="147"/>
    </row>
    <row r="7" spans="1:53" ht="21" customHeight="1">
      <c r="A7" s="82"/>
      <c r="B7" s="26"/>
      <c r="C7" s="76"/>
      <c r="D7" s="129"/>
      <c r="E7" s="59"/>
      <c r="F7" s="57"/>
      <c r="G7" s="22"/>
      <c r="H7" s="22"/>
      <c r="I7" s="22"/>
      <c r="J7" s="58"/>
      <c r="K7" s="22"/>
      <c r="L7" s="103"/>
      <c r="M7" s="165"/>
      <c r="N7" s="161"/>
      <c r="O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1"/>
      <c r="AU7" s="161"/>
      <c r="AV7" s="161"/>
      <c r="AW7" s="161"/>
      <c r="AX7" s="161"/>
      <c r="AY7" s="161"/>
      <c r="AZ7" s="161"/>
      <c r="BA7" s="161"/>
    </row>
    <row r="8" spans="1:53" ht="21" customHeight="1">
      <c r="A8" s="82"/>
      <c r="B8" s="26"/>
      <c r="C8" s="76"/>
      <c r="D8" s="129"/>
      <c r="E8" s="59"/>
      <c r="F8" s="57"/>
      <c r="G8" s="23"/>
      <c r="H8" s="22"/>
      <c r="I8" s="22"/>
      <c r="J8" s="58"/>
      <c r="K8" s="22"/>
      <c r="L8" s="103"/>
      <c r="M8" s="165"/>
      <c r="N8" s="161"/>
      <c r="O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</row>
    <row r="9" spans="1:53" ht="21" customHeight="1">
      <c r="A9" s="82"/>
      <c r="B9" s="56"/>
      <c r="C9" s="76"/>
      <c r="D9" s="129"/>
      <c r="E9" s="59"/>
      <c r="F9" s="57"/>
      <c r="G9" s="22"/>
      <c r="H9" s="22"/>
      <c r="I9" s="22"/>
      <c r="J9" s="58"/>
      <c r="K9" s="22"/>
      <c r="L9" s="117"/>
      <c r="M9" s="165"/>
      <c r="N9" s="161"/>
      <c r="O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1"/>
      <c r="AY9" s="161"/>
      <c r="AZ9" s="161"/>
      <c r="BA9" s="161"/>
    </row>
    <row r="10" spans="1:53" ht="21" customHeight="1">
      <c r="A10" s="82"/>
      <c r="B10" s="76"/>
      <c r="C10" s="80"/>
      <c r="D10" s="130"/>
      <c r="E10" s="55"/>
      <c r="F10" s="61"/>
      <c r="G10" s="22"/>
      <c r="H10" s="22"/>
      <c r="I10" s="22"/>
      <c r="J10" s="58"/>
      <c r="K10" s="22"/>
      <c r="L10" s="117"/>
      <c r="M10" s="166"/>
      <c r="N10" s="161"/>
      <c r="O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</row>
    <row r="11" spans="1:53" ht="21" customHeight="1">
      <c r="A11" s="82"/>
      <c r="B11" s="56"/>
      <c r="C11" s="62"/>
      <c r="D11" s="131"/>
      <c r="E11" s="58"/>
      <c r="F11" s="57"/>
      <c r="G11" s="22"/>
      <c r="H11" s="22"/>
      <c r="I11" s="22"/>
      <c r="J11" s="58"/>
      <c r="K11" s="22"/>
      <c r="L11" s="117"/>
      <c r="M11" s="167"/>
      <c r="N11" s="161"/>
      <c r="O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</row>
    <row r="12" spans="1:53" s="28" customFormat="1" ht="21" customHeight="1">
      <c r="A12" s="82"/>
      <c r="B12" s="73"/>
      <c r="C12" s="105"/>
      <c r="D12" s="132"/>
      <c r="E12" s="81"/>
      <c r="F12" s="61"/>
      <c r="G12" s="23"/>
      <c r="H12" s="22"/>
      <c r="I12" s="22"/>
      <c r="J12" s="58"/>
      <c r="K12" s="22"/>
      <c r="L12" s="118"/>
      <c r="M12" s="168"/>
      <c r="N12" s="162"/>
      <c r="O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2"/>
      <c r="AX12" s="162"/>
      <c r="AY12" s="162"/>
      <c r="AZ12" s="162"/>
      <c r="BA12" s="162"/>
    </row>
    <row r="13" spans="1:53" s="28" customFormat="1" ht="21" customHeight="1">
      <c r="A13" s="82">
        <f>A12+1</f>
      </c>
      <c r="B13" s="73" t="s">
        <v>30</v>
      </c>
      <c r="C13" s="74" t="s">
        <v>31</v>
      </c>
      <c r="D13" s="132"/>
      <c r="E13" s="81" t="s">
        <v>10</v>
      </c>
      <c r="F13" s="61">
        <v>1</v>
      </c>
      <c r="G13" s="55">
        <f>H12*40%</f>
      </c>
      <c r="H13" s="22">
        <f>G13*F13</f>
      </c>
      <c r="I13" s="22"/>
      <c r="J13" s="58">
        <f>F13*I13</f>
      </c>
      <c r="K13" s="22">
        <f>+H13+J13</f>
      </c>
      <c r="L13" s="117"/>
      <c r="M13" s="168"/>
      <c r="N13" s="162"/>
      <c r="O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  <c r="AM13" s="162"/>
      <c r="AN13" s="162"/>
      <c r="AO13" s="162"/>
      <c r="AP13" s="162"/>
      <c r="AQ13" s="162"/>
      <c r="AR13" s="162"/>
      <c r="AS13" s="162"/>
      <c r="AT13" s="162"/>
      <c r="AU13" s="162"/>
      <c r="AV13" s="162"/>
      <c r="AW13" s="162"/>
      <c r="AX13" s="162"/>
      <c r="AY13" s="162"/>
      <c r="AZ13" s="162"/>
      <c r="BA13" s="162"/>
    </row>
    <row r="14" spans="1:53" ht="21" customHeight="1">
      <c r="A14" s="109">
        <f>A13+1</f>
      </c>
      <c r="B14" s="71" t="s">
        <v>21</v>
      </c>
      <c r="C14" s="101" t="s">
        <v>33</v>
      </c>
      <c r="D14" s="133"/>
      <c r="E14" s="63" t="s">
        <v>22</v>
      </c>
      <c r="F14" s="60">
        <v>1</v>
      </c>
      <c r="G14" s="102">
        <f>INT(SUM(H6:H13)*2%)</f>
      </c>
      <c r="H14" s="27">
        <f>G14*F14</f>
      </c>
      <c r="I14" s="27"/>
      <c r="J14" s="63">
        <f>F14*I14</f>
      </c>
      <c r="K14" s="27">
        <f>+H14+J14</f>
      </c>
      <c r="L14" s="116"/>
      <c r="M14" s="169"/>
      <c r="N14" s="161"/>
      <c r="O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</row>
    <row r="15" spans="1:53" s="72" customFormat="1" ht="21" customHeight="1">
      <c r="A15" s="228" t="s">
        <v>32</v>
      </c>
      <c r="B15" s="229"/>
      <c r="C15" s="229"/>
      <c r="D15" s="198"/>
      <c r="E15" s="199"/>
      <c r="F15" s="197"/>
      <c r="G15" s="200"/>
      <c r="H15" s="200">
        <f>SUM(H6:H14)</f>
      </c>
      <c r="I15" s="200"/>
      <c r="J15" s="200">
        <f>SUM(J6:J14)</f>
      </c>
      <c r="K15" s="200">
        <f>SUM(K6:K14)</f>
      </c>
      <c r="L15" s="201"/>
      <c r="M15" s="100"/>
    </row>
    <row r="16" spans="1:53" s="28" customFormat="1" ht="21" customHeight="1">
      <c r="A16" s="124" t="s">
        <v>54</v>
      </c>
      <c r="B16" s="86" t="s">
        <v>27</v>
      </c>
      <c r="C16" s="87"/>
      <c r="D16" s="127"/>
      <c r="E16" s="88"/>
      <c r="F16" s="89"/>
      <c r="G16" s="54"/>
      <c r="H16" s="83"/>
      <c r="I16" s="83"/>
      <c r="J16" s="83"/>
      <c r="K16" s="83"/>
      <c r="L16" s="90"/>
      <c r="M16" s="75"/>
    </row>
    <row r="17" spans="1:13" s="28" customFormat="1" ht="21" customHeight="1">
      <c r="A17" s="65">
        <v>1</v>
      </c>
      <c r="B17" s="91" t="s">
        <v>48</v>
      </c>
      <c r="C17" s="64" t="s">
        <v>28</v>
      </c>
      <c r="D17" s="134"/>
      <c r="E17" s="92" t="s">
        <v>10</v>
      </c>
      <c r="F17" s="180">
        <v>4.8599999999999997E-2</v>
      </c>
      <c r="G17" s="55"/>
      <c r="H17" s="25"/>
      <c r="I17" s="25"/>
      <c r="J17" s="25"/>
      <c r="K17" s="25">
        <f>INT(J15*F17)</f>
      </c>
      <c r="L17" s="93"/>
      <c r="M17" s="75"/>
    </row>
    <row r="18" spans="1:13" s="28" customFormat="1" ht="21" customHeight="1">
      <c r="A18" s="65">
        <v>2</v>
      </c>
      <c r="B18" s="80" t="s">
        <v>16</v>
      </c>
      <c r="C18" s="64" t="s">
        <v>28</v>
      </c>
      <c r="D18" s="134"/>
      <c r="E18" s="92" t="s">
        <v>10</v>
      </c>
      <c r="F18" s="94">
        <v>4.2399999999999998E-3</v>
      </c>
      <c r="G18" s="55"/>
      <c r="H18" s="25"/>
      <c r="I18" s="25"/>
      <c r="J18" s="25"/>
      <c r="K18" s="25">
        <f>INT(J15*F18)</f>
      </c>
      <c r="L18" s="93"/>
      <c r="M18" s="75"/>
    </row>
    <row r="19" spans="1:13" s="28" customFormat="1" ht="21" customHeight="1">
      <c r="A19" s="65">
        <v>3</v>
      </c>
      <c r="B19" s="80" t="s">
        <v>15</v>
      </c>
      <c r="C19" s="64" t="s">
        <v>28</v>
      </c>
      <c r="D19" s="134"/>
      <c r="E19" s="92" t="s">
        <v>10</v>
      </c>
      <c r="F19" s="94">
        <v>9.6100000000000005E-3</v>
      </c>
      <c r="G19" s="55"/>
      <c r="H19" s="25"/>
      <c r="I19" s="25"/>
      <c r="J19" s="25"/>
      <c r="K19" s="25">
        <f>INT(J15*F19)</f>
      </c>
      <c r="L19" s="93"/>
      <c r="M19" s="75"/>
    </row>
    <row r="20" spans="1:13" s="28" customFormat="1" ht="21" customHeight="1">
      <c r="A20" s="65">
        <v>4</v>
      </c>
      <c r="B20" s="95" t="s">
        <v>18</v>
      </c>
      <c r="C20" s="64" t="s">
        <v>28</v>
      </c>
      <c r="D20" s="134"/>
      <c r="E20" s="177" t="s">
        <v>10</v>
      </c>
      <c r="F20" s="203">
        <v>1.2829999999999999E-2</v>
      </c>
      <c r="G20" s="55"/>
      <c r="H20" s="25"/>
      <c r="I20" s="25"/>
      <c r="J20" s="96"/>
      <c r="K20" s="174">
        <v>0</v>
      </c>
      <c r="L20" s="106"/>
      <c r="M20" s="75" t="s">
        <v>44</v>
      </c>
    </row>
    <row r="21" spans="1:13" s="28" customFormat="1" ht="21" customHeight="1">
      <c r="A21" s="65">
        <v>5</v>
      </c>
      <c r="B21" s="80" t="s">
        <v>17</v>
      </c>
      <c r="C21" s="64" t="s">
        <v>72</v>
      </c>
      <c r="D21" s="134"/>
      <c r="E21" s="92" t="s">
        <v>10</v>
      </c>
      <c r="F21" s="203">
        <v>9.7099999999999999E-3</v>
      </c>
      <c r="G21" s="55"/>
      <c r="H21" s="25"/>
      <c r="I21" s="25"/>
      <c r="J21" s="25"/>
      <c r="K21" s="174">
        <v>0</v>
      </c>
      <c r="L21" s="106"/>
      <c r="M21" s="75" t="s">
        <v>44</v>
      </c>
    </row>
    <row r="22" spans="1:13" s="28" customFormat="1" ht="21" customHeight="1">
      <c r="A22" s="65">
        <v>6</v>
      </c>
      <c r="B22" s="80" t="s">
        <v>45</v>
      </c>
      <c r="C22" s="64" t="s">
        <v>72</v>
      </c>
      <c r="D22" s="134"/>
      <c r="E22" s="178" t="s">
        <v>10</v>
      </c>
      <c r="F22" s="203">
        <v>1.2800000000000001E-3</v>
      </c>
      <c r="G22" s="55"/>
      <c r="H22" s="25"/>
      <c r="I22" s="25"/>
      <c r="J22" s="25"/>
      <c r="K22" s="174">
        <v>0</v>
      </c>
      <c r="L22" s="106"/>
      <c r="M22" s="75" t="s">
        <v>44</v>
      </c>
    </row>
    <row r="23" spans="1:13" s="28" customFormat="1" ht="21" customHeight="1">
      <c r="A23" s="65">
        <v>7</v>
      </c>
      <c r="B23" s="80" t="s">
        <v>49</v>
      </c>
      <c r="C23" s="64" t="s">
        <v>14</v>
      </c>
      <c r="D23" s="134"/>
      <c r="E23" s="92" t="s">
        <v>10</v>
      </c>
      <c r="F23" s="179">
        <v>3.1099999999999999E-2</v>
      </c>
      <c r="G23" s="55"/>
      <c r="H23" s="173"/>
      <c r="I23" s="25"/>
      <c r="J23" s="25"/>
      <c r="K23" s="175">
        <f>INT(K15*F23)</f>
      </c>
      <c r="L23" s="106"/>
      <c r="M23" s="75"/>
    </row>
    <row r="24" spans="1:13" s="28" customFormat="1" ht="21" customHeight="1">
      <c r="A24" s="65">
        <v>8</v>
      </c>
      <c r="B24" s="80" t="s">
        <v>46</v>
      </c>
      <c r="C24" s="64" t="s">
        <v>28</v>
      </c>
      <c r="D24" s="134"/>
      <c r="E24" s="178" t="s">
        <v>10</v>
      </c>
      <c r="F24" s="94">
        <v>6.2100000000000002E-3</v>
      </c>
      <c r="G24" s="55"/>
      <c r="H24" s="25"/>
      <c r="I24" s="25"/>
      <c r="J24" s="25"/>
      <c r="K24" s="176">
        <v>0</v>
      </c>
      <c r="L24" s="106"/>
      <c r="M24" s="75" t="s">
        <v>47</v>
      </c>
    </row>
    <row r="25" spans="1:13" s="28" customFormat="1" ht="21" customHeight="1">
      <c r="A25" s="108">
        <v>9</v>
      </c>
      <c r="B25" s="97" t="s">
        <v>20</v>
      </c>
      <c r="C25" s="98" t="s">
        <v>29</v>
      </c>
      <c r="D25" s="135"/>
      <c r="E25" s="84" t="s">
        <v>10</v>
      </c>
      <c r="F25" s="99">
        <v>0.1</v>
      </c>
      <c r="G25" s="85"/>
      <c r="H25" s="42"/>
      <c r="I25" s="42"/>
      <c r="J25" s="42"/>
      <c r="K25" s="27">
        <f>INT((SUM(K15,K23,K17))*F25)</f>
      </c>
      <c r="L25" s="119"/>
      <c r="M25" s="75"/>
    </row>
    <row r="26" spans="1:13" s="28" customFormat="1" ht="21" customHeight="1">
      <c r="A26" s="226" t="s">
        <v>35</v>
      </c>
      <c r="B26" s="227"/>
      <c r="C26" s="227"/>
      <c r="D26" s="190"/>
      <c r="E26" s="191"/>
      <c r="F26" s="192"/>
      <c r="G26" s="193"/>
      <c r="H26" s="193"/>
      <c r="I26" s="193"/>
      <c r="J26" s="194"/>
      <c r="K26" s="195">
        <f>SUM(K17:K25)</f>
      </c>
      <c r="L26" s="196"/>
      <c r="M26" s="202"/>
    </row>
    <row r="27" spans="1:13" s="28" customFormat="1" ht="21" customHeight="1" thickBot="1">
      <c r="A27" s="224" t="s">
        <v>36</v>
      </c>
      <c r="B27" s="225"/>
      <c r="C27" s="225"/>
      <c r="D27" s="185"/>
      <c r="E27" s="186"/>
      <c r="F27" s="186"/>
      <c r="G27" s="187"/>
      <c r="H27" s="187"/>
      <c r="I27" s="187"/>
      <c r="J27" s="184"/>
      <c r="K27" s="188">
        <f>K15+K26</f>
      </c>
      <c r="L27" s="189"/>
      <c r="M27" s="202"/>
    </row>
    <row r="28" spans="1:13" ht="21" customHeight="1">
      <c r="M28" s="158"/>
    </row>
    <row r="29" spans="1:13" ht="21" customHeight="1">
      <c r="M29" s="158"/>
    </row>
    <row r="30" spans="1:13" ht="21" customHeight="1"/>
    <row r="31" spans="1:13" ht="21" customHeight="1"/>
    <row r="32" spans="1:13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</sheetData>
  <mergeCells count="35">
    <mergeCell ref="A27:C27"/>
    <mergeCell ref="A26:C26"/>
    <mergeCell ref="A15:C15"/>
    <mergeCell ref="A1:L1"/>
    <mergeCell ref="A2:A3"/>
    <mergeCell ref="B2:B3"/>
    <mergeCell ref="C2:C3"/>
    <mergeCell ref="E2:E3"/>
    <mergeCell ref="F2:F3"/>
    <mergeCell ref="G2:H2"/>
    <mergeCell ref="I2:J2"/>
    <mergeCell ref="K2:K3"/>
    <mergeCell ref="L2:L3"/>
    <mergeCell ref="AJ2:AK2"/>
    <mergeCell ref="Q2:Q3"/>
    <mergeCell ref="T2:U2"/>
    <mergeCell ref="V2:W2"/>
    <mergeCell ref="X2:Y2"/>
    <mergeCell ref="Z2:AA2"/>
    <mergeCell ref="AV2:AW2"/>
    <mergeCell ref="AX2:AY2"/>
    <mergeCell ref="AZ2:BA2"/>
    <mergeCell ref="D2:D3"/>
    <mergeCell ref="M2:M3"/>
    <mergeCell ref="N2:N3"/>
    <mergeCell ref="O2:O3"/>
    <mergeCell ref="AL2:AM2"/>
    <mergeCell ref="AN2:AO2"/>
    <mergeCell ref="AP2:AQ2"/>
    <mergeCell ref="AR2:AS2"/>
    <mergeCell ref="AT2:AU2"/>
    <mergeCell ref="AB2:AC2"/>
    <mergeCell ref="AD2:AE2"/>
    <mergeCell ref="AF2:AG2"/>
    <mergeCell ref="AH2:AI2"/>
  </mergeCells>
  <phoneticPr fontId="1" type="noConversion"/>
  <printOptions horizontalCentered="1"/>
  <pageMargins left="0.11811023622047245" right="0.11811023622047245" top="0.74803149606299213" bottom="0.31496062992125984" header="0.31496062992125984" footer="0.15748031496062992"/>
  <pageSetup paperSize="9" scale="70" fitToHeight="0" orientation="landscape"/>
  <headerFooter scaleWithDoc="0">
    <oddFooter xml:space="preserve">&amp;C&amp;P / &amp;N&amp;R㈜서울영상테크    </oddFooter>
  </headerFooter>
  <ignoredErrors>
    <ignoredError sqref="K17:K19 F10:F12 G13:G14 K26" unlockedFormula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갑지</vt:lpstr>
      <vt:lpstr>세부내역</vt:lpstr>
      <vt:lpstr>갑지!Print_Area</vt:lpstr>
      <vt:lpstr>세부내역!Print_Area</vt:lpstr>
      <vt:lpstr>세부내역!Print_Titles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mitype/" xmlns:xsi="http://www.w3.org/2001/XMLSchema-instance">
  <dc:creator>AV-CPQ</dc:creator>
  <cp:lastModifiedBy>AV-CPQ</cp:lastModifiedBy>
</cp:coreProperties>
</file>