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C89E4880-F1B2-45AE-9141-BFBA17D3D0E4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세부내역!$A$1:$O$25</definedName>
    <definedName name="_xlnm.Print_Titles" localSheetId="1">세부내역!$1:$3</definedName>
  </definedNames>
  <calcPr calcId="191029" fullCalcOnLoad="1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<sst xmlns="http://schemas.openxmlformats.org/spreadsheetml/2006/main" count="83" uniqueCount="83">
  <si>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</si>
  <si>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</si>
  <si>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</si>
  <si>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</si>
  <si>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</si>
  <si>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</si>
  <si>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</si>
  <si>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</si>
  <si>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</si>
  <si>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</si>
  <si>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</si>
  <si>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</si>
  <si>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</si>
  <si>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</si>
  <si>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</si>
  <si>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합 계</t>
    <phoneticPr fontId="4" type="noConversion"/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</si>
  <si>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</si>
  <si>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</si>
  <si>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</si>
  <si>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</si>
  <si>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</si>
  <si>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</si>
  <si>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노무비 대비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</si>
  <si>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</si>
  <si>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</si>
  <si>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</si>
  <si>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</si>
  <si>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</si>
  <si>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합      계</t>
    <phoneticPr fontId="4" type="noConversion"/>
  </si>
  <si>
    <t>품   명</t>
    <phoneticPr fontId="1" type="noConversion"/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</si>
  <si>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</si>
  <si>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</si>
  <si>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</si>
  <si>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</si>
  <si>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건강보험료 대비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</si>
  <si>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</si>
  <si>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</si>
  <si>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</si>
  <si>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</si>
  <si>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</si>
  <si>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</si>
  <si>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간접비</t>
    <phoneticPr fontId="16" type="noConversion"/>
  </si>
  <si>
    <t>일반관리비</t>
  </si>
  <si>
    <t>식</t>
    <phoneticPr fontId="4" type="noConversion"/>
  </si>
  <si>
    <t>산재 및 고용보험료</t>
  </si>
  <si>
    <t>퇴직공제부금</t>
    <phoneticPr fontId="1" type="noConversion"/>
  </si>
  <si>
    <t>국민연금보험료</t>
  </si>
  <si>
    <t>국민건강보험료</t>
  </si>
  <si>
    <t>간접비계</t>
    <phoneticPr fontId="16" type="noConversion"/>
  </si>
  <si>
    <t>금  액 :</t>
    <phoneticPr fontId="1" type="noConversion"/>
  </si>
  <si>
    <t>1억원 이상 공사 限</t>
  </si>
  <si>
    <t xml:space="preserve"> - 인테리어 보강 / 전기공사 제외</t>
    <phoneticPr fontId="1" type="noConversion"/>
  </si>
  <si>
    <t>설   명</t>
    <phoneticPr fontId="4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</si>
  <si>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</si>
  <si>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</si>
  <si>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</si>
  <si>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</si>
  <si>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</si>
  <si>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</si>
  <si>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</si>
  <si>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</si>
  <si>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</si>
  <si>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</si>
  <si>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</si>
  <si>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</si>
  <si>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</si>
  <si>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</si>
  <si>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</si>
  <si>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</si>
  <si>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</si>
  <si>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</si>
  <si>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원   가</t>
    <phoneticPr fontId="4" type="noConversion"/>
  </si>
  <si>
    <t>재료비 이윤</t>
    <phoneticPr fontId="1" type="noConversion"/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</si>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</sst>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  <font>
      <sz val="9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4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  <xf numFmtId="9" fontId="24" fillId="0" borderId="0" applyFon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2" fontId="13" fillId="0" borderId="4" xfId="0" applyNumberFormat="1" applyFont="1" applyBorder="1" applyAlignment="1">
      <alignment vertical="center" shrinkToFit="1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3" fillId="0" borderId="0" xfId="5" applyFont="1" applyAlignment="1">
      <alignment horizontal="left" vertical="center"/>
    </xf>
    <xf numFmtId="41" fontId="13" fillId="0" borderId="0" xfId="0" applyNumberFormat="1" applyFont="1" applyAlignment="1">
      <alignment vertical="center" wrapText="1"/>
    </xf>
    <xf numFmtId="41" fontId="13" fillId="0" borderId="0" xfId="3" applyNumberFormat="1" applyFont="1" applyAlignment="1">
      <alignment horizontal="left" vertical="center" wrapText="1"/>
    </xf>
    <xf numFmtId="41" fontId="13" fillId="0" borderId="0" xfId="0" applyNumberFormat="1" applyFont="1" applyProtection="1">
      <alignment vertical="center"/>
      <protection locked="0"/>
    </xf>
    <xf numFmtId="41" fontId="13" fillId="0" borderId="0" xfId="0" applyNumberFormat="1" applyFont="1" applyAlignment="1">
      <alignment vertical="center" shrinkToFi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23" fillId="0" borderId="0" xfId="0" applyNumberFormat="1" applyFont="1" applyAlignment="1"/>
    <xf numFmtId="0" fontId="15" fillId="0" borderId="0" xfId="0" applyFont="1" applyAlignment="1" applyProtection="1">
      <alignment horizontal="left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0" fontId="6" fillId="0" borderId="0" xfId="0" quotePrefix="1" applyFont="1" applyAlignment="1">
      <alignment horizontal="left"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177" fontId="12" fillId="0" borderId="27" xfId="0" applyNumberFormat="1" applyFont="1" applyBorder="1">
      <alignment vertical="center"/>
    </xf>
    <xf numFmtId="41" fontId="12" fillId="0" borderId="27" xfId="0" applyNumberFormat="1" applyFont="1" applyBorder="1" applyAlignment="1">
      <alignment horizontal="left" vertical="center"/>
    </xf>
    <xf numFmtId="0" fontId="12" fillId="0" borderId="27" xfId="0" applyFont="1" applyBorder="1" applyAlignment="1">
      <alignment horizontal="center" vertical="center"/>
    </xf>
    <xf numFmtId="41" fontId="12" fillId="0" borderId="27" xfId="0" applyNumberFormat="1" applyFont="1" applyBorder="1" applyAlignment="1">
      <alignment horizontal="center" vertical="center"/>
    </xf>
    <xf numFmtId="41" fontId="13" fillId="0" borderId="27" xfId="0" applyNumberFormat="1" applyFont="1" applyBorder="1">
      <alignment vertical="center"/>
    </xf>
    <xf numFmtId="41" fontId="12" fillId="0" borderId="27" xfId="0" applyNumberFormat="1" applyFont="1" applyBorder="1">
      <alignment vertical="center"/>
    </xf>
    <xf numFmtId="41" fontId="13" fillId="0" borderId="0" xfId="0" applyNumberFormat="1" applyFont="1" applyAlignment="1">
      <alignment horizontal="left" vertical="center"/>
    </xf>
    <xf numFmtId="0" fontId="15" fillId="0" borderId="0" xfId="0" applyFont="1">
      <alignment vertical="center"/>
    </xf>
    <xf numFmtId="0" fontId="28" fillId="0" borderId="0" xfId="0" applyFont="1">
      <alignment vertical="center"/>
    </xf>
    <xf numFmtId="41" fontId="13" fillId="0" borderId="4" xfId="0" applyNumberFormat="1" applyFont="1" applyBorder="1" applyAlignment="1">
      <alignment horizontal="left" vertical="center" wrapText="1"/>
    </xf>
    <xf numFmtId="0" fontId="14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left" vertical="center"/>
    </xf>
    <xf numFmtId="177" fontId="13" fillId="0" borderId="4" xfId="0" applyNumberFormat="1" applyFont="1" applyBorder="1">
      <alignment vertical="center"/>
    </xf>
    <xf numFmtId="177" fontId="14" fillId="0" borderId="4" xfId="0" applyNumberFormat="1" applyFont="1" applyBorder="1" applyAlignment="1">
      <alignment horizontal="left" vertical="center"/>
    </xf>
    <xf numFmtId="0" fontId="7" fillId="0" borderId="0" xfId="0" quotePrefix="1" applyFont="1">
      <alignment vertical="center"/>
    </xf>
    <xf numFmtId="178" fontId="13" fillId="0" borderId="4" xfId="0" applyNumberFormat="1" applyFont="1" applyBorder="1" applyAlignment="1">
      <alignment horizontal="center" vertical="center"/>
    </xf>
    <xf numFmtId="178" fontId="13" fillId="0" borderId="5" xfId="0" applyNumberFormat="1" applyFont="1" applyBorder="1" applyAlignment="1">
      <alignment horizontal="center" vertical="center"/>
    </xf>
    <xf numFmtId="41" fontId="14" fillId="0" borderId="28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>
      <alignment horizontal="center" vertical="center"/>
    </xf>
    <xf numFmtId="41" fontId="14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38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28" xfId="0" applyNumberFormat="1" applyFont="1" applyBorder="1" applyAlignment="1">
      <alignment horizontal="center" vertical="center" wrapText="1"/>
    </xf>
    <xf numFmtId="41" fontId="14" fillId="0" borderId="11" xfId="0" applyNumberFormat="1" applyFont="1" applyBorder="1" applyAlignment="1">
      <alignment horizontal="center" vertical="center" wrapText="1"/>
    </xf>
    <xf numFmtId="41" fontId="29" fillId="0" borderId="11" xfId="0" applyNumberFormat="1" applyFont="1" applyBorder="1" applyAlignment="1">
      <alignment horizontal="center" vertical="center"/>
    </xf>
    <xf numFmtId="41" fontId="29" fillId="0" borderId="38" xfId="0" applyNumberFormat="1" applyFont="1" applyBorder="1" applyAlignment="1">
      <alignment horizontal="center" vertical="center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7" fillId="0" borderId="27" xfId="0" applyNumberFormat="1" applyFont="1" applyBorder="1" applyAlignment="1">
      <alignment horizontal="left" vertical="center"/>
    </xf>
    <xf numFmtId="41" fontId="15" fillId="0" borderId="4" xfId="0" applyNumberFormat="1" applyFont="1" applyBorder="1" applyAlignment="1">
      <alignment horizontal="left" vertical="center" wrapText="1"/>
    </xf>
    <xf numFmtId="177" fontId="15" fillId="0" borderId="4" xfId="0" applyNumberFormat="1" applyFont="1" applyBorder="1" applyAlignment="1">
      <alignment horizontal="left" vertical="center"/>
    </xf>
    <xf numFmtId="41" fontId="15" fillId="0" borderId="0" xfId="0" applyNumberFormat="1" applyFont="1">
      <alignment vertical="center"/>
    </xf>
    <xf numFmtId="0" fontId="6" fillId="4" borderId="0" xfId="0" applyFont="1" applyFill="1">
      <alignment vertical="center"/>
    </xf>
    <xf numFmtId="41" fontId="23" fillId="0" borderId="0" xfId="0" applyNumberFormat="1" applyFont="1" applyAlignment="1">
      <alignment horizontal="left"/>
    </xf>
    <xf numFmtId="9" fontId="28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41" fontId="14" fillId="0" borderId="42" xfId="0" applyNumberFormat="1" applyFont="1" applyBorder="1" applyAlignment="1" applyProtection="1">
      <alignment horizontal="left" vertical="center"/>
      <protection locked="0"/>
    </xf>
    <xf numFmtId="0" fontId="14" fillId="0" borderId="10" xfId="0" applyFont="1" applyBorder="1" applyProtection="1">
      <alignment vertical="center"/>
      <protection locked="0"/>
    </xf>
    <xf numFmtId="0" fontId="13" fillId="0" borderId="10" xfId="0" applyFont="1" applyBorder="1" applyProtection="1">
      <alignment vertical="center"/>
      <protection locked="0"/>
    </xf>
    <xf numFmtId="41" fontId="14" fillId="0" borderId="42" xfId="0" applyNumberFormat="1" applyFont="1" applyBorder="1" applyAlignment="1">
      <alignment horizontal="left" vertical="center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41" fontId="14" fillId="0" borderId="42" xfId="8" applyNumberFormat="1" applyFont="1" applyBorder="1" applyAlignment="1">
      <alignment horizontal="left"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9" fontId="13" fillId="0" borderId="0" xfId="8" applyNumberFormat="1" applyFont="1" applyAlignment="1">
      <alignment horizontal="left" vertical="center" wrapText="1"/>
    </xf>
    <xf numFmtId="9" fontId="28" fillId="0" borderId="10" xfId="8" applyNumberFormat="1" applyFont="1" applyBorder="1" applyAlignment="1">
      <alignment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3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 wrapText="1"/>
    </xf>
    <xf numFmtId="41" fontId="13" fillId="0" borderId="42" xfId="5" applyFont="1" applyBorder="1" applyAlignment="1">
      <alignment horizontal="left" vertical="center"/>
    </xf>
    <xf numFmtId="41" fontId="13" fillId="0" borderId="42" xfId="0" applyNumberFormat="1" applyFont="1" applyBorder="1" applyAlignment="1" applyProtection="1">
      <alignment horizontal="left" vertical="center"/>
      <protection locked="0"/>
    </xf>
    <xf numFmtId="41" fontId="13" fillId="0" borderId="42" xfId="0" applyNumberFormat="1" applyFont="1" applyBorder="1" applyAlignment="1">
      <alignment horizontal="left" vertical="center" shrinkToFit="1"/>
    </xf>
    <xf numFmtId="41" fontId="21" fillId="2" borderId="10" xfId="0" applyNumberFormat="1" applyFont="1" applyFill="1" applyBorder="1" applyAlignment="1" applyProtection="1">
      <alignment horizontal="center" vertical="center"/>
      <protection locked="0"/>
    </xf>
    <xf numFmtId="41" fontId="28" fillId="0" borderId="4" xfId="8" applyNumberFormat="1" applyFont="1" applyBorder="1" applyAlignment="1">
      <alignment vertical="center"/>
    </xf>
    <xf numFmtId="41" fontId="28" fillId="0" borderId="27" xfId="0" applyNumberFormat="1" applyFont="1" applyBorder="1" applyAlignment="1" applyProtection="1">
      <alignment horizontal="center" vertical="center"/>
      <protection locked="0"/>
    </xf>
    <xf numFmtId="41" fontId="28" fillId="0" borderId="27" xfId="0" applyNumberFormat="1" applyFont="1" applyBorder="1" applyProtection="1">
      <alignment vertical="center"/>
      <protection locked="0"/>
    </xf>
    <xf numFmtId="41" fontId="28" fillId="0" borderId="4" xfId="0" applyNumberFormat="1" applyFont="1" applyBorder="1" applyAlignment="1">
      <alignment horizontal="center" vertical="center"/>
    </xf>
    <xf numFmtId="41" fontId="21" fillId="0" borderId="4" xfId="0" applyNumberFormat="1" applyFont="1" applyBorder="1">
      <alignment vertical="center"/>
    </xf>
    <xf numFmtId="41" fontId="28" fillId="0" borderId="4" xfId="0" applyNumberFormat="1" applyFont="1" applyBorder="1">
      <alignment vertical="center"/>
    </xf>
    <xf numFmtId="41" fontId="28" fillId="0" borderId="4" xfId="0" applyNumberFormat="1" applyFont="1" applyBorder="1" applyAlignment="1" applyProtection="1">
      <alignment horizontal="center" vertical="center"/>
      <protection locked="0"/>
    </xf>
    <xf numFmtId="41" fontId="28" fillId="0" borderId="5" xfId="0" applyNumberFormat="1" applyFont="1" applyBorder="1" applyAlignment="1" applyProtection="1">
      <alignment horizontal="right" vertical="center"/>
      <protection locked="0"/>
    </xf>
    <xf numFmtId="41" fontId="28" fillId="0" borderId="27" xfId="0" applyNumberFormat="1" applyFont="1" applyBorder="1">
      <alignment vertical="center"/>
    </xf>
    <xf numFmtId="41" fontId="21" fillId="0" borderId="27" xfId="0" applyNumberFormat="1" applyFont="1" applyBorder="1">
      <alignment vertical="center"/>
    </xf>
    <xf numFmtId="41" fontId="28" fillId="0" borderId="0" xfId="0" applyNumberFormat="1" applyFont="1">
      <alignment vertical="center"/>
    </xf>
    <xf numFmtId="9" fontId="28" fillId="0" borderId="4" xfId="9" applyFont="1" applyBorder="1" applyAlignment="1">
      <alignment horizontal="center" vertical="center"/>
    </xf>
    <xf numFmtId="9" fontId="28" fillId="0" borderId="5" xfId="9" applyFont="1" applyBorder="1" applyAlignment="1">
      <alignment horizontal="center" vertical="center"/>
    </xf>
    <xf numFmtId="41" fontId="28" fillId="0" borderId="5" xfId="8" applyNumberFormat="1" applyFont="1" applyBorder="1" applyAlignment="1">
      <alignment vertical="center"/>
    </xf>
    <xf numFmtId="0" fontId="5" fillId="5" borderId="10" xfId="0" applyFont="1" applyFill="1" applyBorder="1" applyAlignment="1">
      <alignment horizontal="center" vertical="center"/>
    </xf>
    <xf numFmtId="41" fontId="5" fillId="5" borderId="10" xfId="0" applyNumberFormat="1" applyFont="1" applyFill="1" applyBorder="1">
      <alignment vertical="center"/>
    </xf>
    <xf numFmtId="0" fontId="5" fillId="5" borderId="15" xfId="0" applyFont="1" applyFill="1" applyBorder="1" applyAlignment="1">
      <alignment horizontal="center" vertical="center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41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12" fillId="5" borderId="24" xfId="0" applyFont="1" applyFill="1" applyBorder="1" applyAlignment="1" applyProtection="1">
      <alignment horizontal="center" vertical="center" shrinkToFit="1"/>
      <protection locked="0"/>
    </xf>
    <xf numFmtId="41" fontId="21" fillId="5" borderId="24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>
      <alignment horizontal="center" vertical="center"/>
    </xf>
    <xf numFmtId="41" fontId="21" fillId="5" borderId="24" xfId="0" applyNumberFormat="1" applyFont="1" applyFill="1" applyBorder="1" applyAlignment="1">
      <alignment horizontal="center" vertical="center"/>
    </xf>
    <xf numFmtId="41" fontId="14" fillId="5" borderId="25" xfId="0" applyNumberFormat="1" applyFont="1" applyFill="1" applyBorder="1" applyAlignment="1" applyProtection="1">
      <alignment horizontal="center" vertical="center" shrinkToFit="1"/>
      <protection locked="0"/>
    </xf>
    <xf numFmtId="0" fontId="18" fillId="6" borderId="14" xfId="3" applyFont="1" applyFill="1" applyBorder="1" applyAlignment="1">
      <alignment horizontal="center" vertical="center"/>
    </xf>
    <xf numFmtId="0" fontId="17" fillId="6" borderId="14" xfId="3" applyFont="1" applyFill="1" applyBorder="1" applyAlignment="1">
      <alignment horizontal="center" vertical="center"/>
    </xf>
    <xf numFmtId="41" fontId="18" fillId="6" borderId="14" xfId="3" applyNumberFormat="1" applyFont="1" applyFill="1" applyBorder="1" applyAlignment="1">
      <alignment horizontal="center" vertical="center"/>
    </xf>
    <xf numFmtId="41" fontId="21" fillId="6" borderId="14" xfId="3" applyNumberFormat="1" applyFont="1" applyFill="1" applyBorder="1" applyAlignment="1">
      <alignment vertical="center"/>
    </xf>
    <xf numFmtId="41" fontId="18" fillId="6" borderId="14" xfId="3" applyNumberFormat="1" applyFont="1" applyFill="1" applyBorder="1" applyAlignment="1">
      <alignment vertical="center"/>
    </xf>
    <xf numFmtId="9" fontId="21" fillId="6" borderId="14" xfId="3" applyNumberFormat="1" applyFont="1" applyFill="1" applyBorder="1" applyAlignment="1">
      <alignment vertical="center"/>
    </xf>
    <xf numFmtId="41" fontId="18" fillId="6" borderId="39" xfId="3" applyNumberFormat="1" applyFont="1" applyFill="1" applyBorder="1" applyAlignment="1">
      <alignment horizontal="center" vertical="center"/>
    </xf>
    <xf numFmtId="177" fontId="17" fillId="6" borderId="10" xfId="0" applyNumberFormat="1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41" fontId="28" fillId="6" borderId="10" xfId="0" applyNumberFormat="1" applyFont="1" applyFill="1" applyBorder="1">
      <alignment vertical="center"/>
    </xf>
    <xf numFmtId="41" fontId="21" fillId="6" borderId="10" xfId="0" applyNumberFormat="1" applyFont="1" applyFill="1" applyBorder="1">
      <alignment vertical="center"/>
    </xf>
    <xf numFmtId="41" fontId="13" fillId="6" borderId="10" xfId="0" applyNumberFormat="1" applyFont="1" applyFill="1" applyBorder="1">
      <alignment vertical="center"/>
    </xf>
    <xf numFmtId="41" fontId="12" fillId="6" borderId="10" xfId="0" applyNumberFormat="1" applyFont="1" applyFill="1" applyBorder="1">
      <alignment vertical="center"/>
    </xf>
    <xf numFmtId="41" fontId="14" fillId="6" borderId="15" xfId="0" applyNumberFormat="1" applyFont="1" applyFill="1" applyBorder="1" applyAlignment="1">
      <alignment horizontal="center" vertical="center" wrapText="1"/>
    </xf>
    <xf numFmtId="41" fontId="12" fillId="0" borderId="0" xfId="0" applyNumberFormat="1" applyFont="1" applyAlignment="1" applyProtection="1">
      <alignment horizontal="left" vertical="center"/>
      <protection locked="0"/>
    </xf>
    <xf numFmtId="0" fontId="13" fillId="0" borderId="0" xfId="0" applyFont="1" applyAlignment="1">
      <alignment horizontal="left" vertical="center"/>
    </xf>
    <xf numFmtId="0" fontId="5" fillId="5" borderId="20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5" fillId="0" borderId="6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25" fillId="0" borderId="7" xfId="0" quotePrefix="1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/>
    </xf>
    <xf numFmtId="0" fontId="25" fillId="0" borderId="13" xfId="0" applyFont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177" fontId="12" fillId="6" borderId="20" xfId="0" applyNumberFormat="1" applyFont="1" applyFill="1" applyBorder="1" applyAlignment="1">
      <alignment horizontal="center" vertical="center"/>
    </xf>
    <xf numFmtId="177" fontId="12" fillId="6" borderId="10" xfId="0" applyNumberFormat="1" applyFont="1" applyFill="1" applyBorder="1" applyAlignment="1">
      <alignment horizontal="center" vertical="center"/>
    </xf>
    <xf numFmtId="41" fontId="12" fillId="5" borderId="23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0" fontId="18" fillId="6" borderId="20" xfId="3" applyFont="1" applyFill="1" applyBorder="1" applyAlignment="1">
      <alignment horizontal="center" vertical="center"/>
    </xf>
    <xf numFmtId="0" fontId="18" fillId="6" borderId="14" xfId="3" applyFont="1" applyFill="1" applyBorder="1" applyAlignment="1">
      <alignment horizontal="center" vertical="center"/>
    </xf>
    <xf numFmtId="0" fontId="22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8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8" fillId="2" borderId="39" xfId="0" applyNumberFormat="1" applyFont="1" applyFill="1" applyBorder="1" applyAlignment="1" applyProtection="1">
      <alignment horizontal="center" vertical="center" shrinkToFit="1"/>
      <protection locked="0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  <xf numFmtId="41" fontId="21" fillId="2" borderId="17" xfId="0" applyNumberFormat="1" applyFont="1" applyFill="1" applyBorder="1" applyAlignment="1" applyProtection="1">
      <alignment horizontal="center" vertical="center"/>
      <protection locked="0"/>
    </xf>
    <xf numFmtId="41" fontId="21" fillId="2" borderId="17" xfId="0" applyNumberFormat="1" applyFont="1" applyFill="1" applyBorder="1" applyAlignment="1">
      <alignment horizontal="center" vertical="center"/>
    </xf>
    <xf numFmtId="41" fontId="21" fillId="2" borderId="10" xfId="0" applyNumberFormat="1" applyFont="1" applyFill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41" fontId="13" fillId="0" borderId="10" xfId="8" applyNumberFormat="1" applyFont="1" applyBorder="1" applyAlignment="1">
      <alignment horizontal="center" vertical="center"/>
    </xf>
    <xf numFmtId="0" fontId="13" fillId="0" borderId="10" xfId="8" applyFont="1" applyBorder="1" applyAlignment="1">
      <alignment horizontal="center" vertical="center" shrinkToFit="1"/>
    </xf>
  </cellXfs>
  <cellStyles count="10">
    <cellStyle name="백분율" xfId="9" builtinId="5"/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A8664F2-1B58-41BC-8DFA-1F6C937A494C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527839</xdr:colOff>
      <xdr:row>1</xdr:row>
      <xdr:rowOff>144411</xdr:rowOff>
    </xdr:from>
    <xdr:to>
      <xdr:col>9</xdr:col>
      <xdr:colOff>15087</xdr:colOff>
      <xdr:row>7</xdr:row>
      <xdr:rowOff>162599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612953" y="781225"/>
          <a:ext cx="3596605" cy="18469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15" customHeight="1">
      <c r="A1" s="1"/>
      <c r="B1" s="227" t="s">
        <v>19</v>
      </c>
      <c r="C1" s="227"/>
      <c r="D1" s="227"/>
      <c r="E1" s="227"/>
      <c r="F1" s="227"/>
      <c r="G1" s="227"/>
      <c r="H1" s="227"/>
      <c r="I1" s="227"/>
      <c r="J1" s="1"/>
    </row>
    <row r="2" spans="1:15" ht="24" customHeight="1">
      <c r="A2" s="1"/>
      <c r="B2" s="41" t="s">
        <v>4</v>
      </c>
      <c r="C2" s="148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5" t="s">
        <v>36</v>
      </c>
      <c r="C3" s="148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1" t="s">
        <v>37</v>
      </c>
      <c r="C4" s="148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04" t="s">
        <v>38</v>
      </c>
      <c r="C5" s="148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5" t="s">
        <v>39</v>
      </c>
      <c r="C6" s="148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5" t="s">
        <v>20</v>
      </c>
      <c r="C7" s="46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3" t="s">
        <v>49</v>
      </c>
      <c r="C8" s="42">
        <f>"일금"&amp;NUMBERSTRING(H12,1)&amp;"원정(\"&amp;TEXT(H12,"###,##0")&amp;") V.A.T별도"</f>
      </c>
      <c r="D8" s="6"/>
      <c r="E8" s="10"/>
      <c r="F8" s="8"/>
      <c r="G8" s="16"/>
      <c r="H8" s="16"/>
      <c r="I8" s="17"/>
      <c r="J8" s="1"/>
    </row>
    <row r="9" spans="1:15" ht="24" customHeight="1">
      <c r="A9" s="2"/>
      <c r="B9" s="63" t="s">
        <v>21</v>
      </c>
      <c r="C9" s="64" t="s">
        <v>1</v>
      </c>
      <c r="D9" s="64" t="s">
        <v>18</v>
      </c>
      <c r="E9" s="65" t="s">
        <v>2</v>
      </c>
      <c r="F9" s="65" t="s">
        <v>5</v>
      </c>
      <c r="G9" s="65" t="s">
        <v>3</v>
      </c>
      <c r="H9" s="65" t="s">
        <v>15</v>
      </c>
      <c r="I9" s="66" t="s">
        <v>8</v>
      </c>
      <c r="J9" s="2"/>
    </row>
    <row r="10" spans="1:15" ht="24" customHeight="1">
      <c r="A10" s="2"/>
      <c r="B10" s="47" t="s">
        <v>6</v>
      </c>
      <c r="C10" s="105" t="s">
        <v>53</v>
      </c>
      <c r="D10" s="48"/>
      <c r="E10" s="48"/>
      <c r="F10" s="48"/>
      <c r="G10" s="49"/>
      <c r="H10" s="49"/>
      <c r="I10" s="50"/>
      <c r="J10" s="2"/>
    </row>
    <row r="11" spans="1:15" ht="24" customHeight="1">
      <c r="A11" s="2"/>
      <c r="B11" s="96">
        <v>1</v>
      </c>
      <c r="C11" s="106" t="s">
        <v>54</v>
      </c>
      <c r="D11" s="43" t="s">
        <v>55</v>
      </c>
      <c r="E11" s="43" t="s">
        <v>13</v>
      </c>
      <c r="F11" s="43">
        <v>1</v>
      </c>
      <c r="G11" s="51">
        <f>세부내역!M25</f>
      </c>
      <c r="H11" s="51">
        <f>F11*G11</f>
      </c>
      <c r="I11" s="44"/>
      <c r="J11" s="2"/>
    </row>
    <row r="12" spans="1:15" ht="24" customHeight="1">
      <c r="A12" s="2"/>
      <c r="B12" s="217" t="s">
        <v>0</v>
      </c>
      <c r="C12" s="218"/>
      <c r="D12" s="218"/>
      <c r="E12" s="191"/>
      <c r="F12" s="191"/>
      <c r="G12" s="192"/>
      <c r="H12" s="192">
        <f>ROUNDDOWN(SUM(H11:H11),-3)</f>
      </c>
      <c r="I12" s="193" t="s">
        <v>30</v>
      </c>
      <c r="J12" s="2"/>
      <c r="L12" s="18"/>
      <c r="M12" s="18"/>
      <c r="N12" s="18"/>
    </row>
    <row r="13" spans="1:15" ht="24" customHeight="1">
      <c r="A13" s="2"/>
      <c r="B13" s="28"/>
      <c r="C13" s="29"/>
      <c r="D13" s="30"/>
      <c r="E13" s="30"/>
      <c r="F13" s="30"/>
      <c r="G13" s="30"/>
      <c r="H13" s="30"/>
      <c r="I13" s="31"/>
      <c r="J13" s="2"/>
      <c r="L13" s="18"/>
      <c r="M13" s="18"/>
      <c r="N13" s="18"/>
      <c r="O13" s="19"/>
    </row>
    <row r="14" spans="1:15" ht="24" customHeight="1">
      <c r="A14" s="2"/>
      <c r="B14" s="32"/>
      <c r="C14" s="33"/>
      <c r="D14" s="34"/>
      <c r="E14" s="34"/>
      <c r="F14" s="34"/>
      <c r="G14" s="34"/>
      <c r="H14" s="34"/>
      <c r="I14" s="35"/>
      <c r="J14" s="2"/>
      <c r="L14" s="18"/>
      <c r="M14" s="18"/>
      <c r="N14" s="18"/>
    </row>
    <row r="15" spans="1:15" ht="24" customHeight="1">
      <c r="A15" s="2"/>
      <c r="B15" s="32"/>
      <c r="C15" s="33"/>
      <c r="D15" s="34"/>
      <c r="E15" s="34"/>
      <c r="F15" s="34"/>
      <c r="G15" s="34"/>
      <c r="H15" s="34"/>
      <c r="I15" s="35"/>
      <c r="J15" s="2"/>
      <c r="L15" s="18"/>
      <c r="M15" s="18"/>
      <c r="N15" s="18"/>
    </row>
    <row r="16" spans="1:15" ht="24" customHeight="1">
      <c r="A16" s="2"/>
      <c r="B16" s="32"/>
      <c r="C16" s="33"/>
      <c r="D16" s="34"/>
      <c r="E16" s="34"/>
      <c r="F16" s="34"/>
      <c r="G16" s="34"/>
      <c r="H16" s="34"/>
      <c r="I16" s="35"/>
      <c r="J16" s="2"/>
      <c r="L16" s="18"/>
      <c r="M16" s="18"/>
      <c r="N16" s="18"/>
    </row>
    <row r="17" spans="1:14" ht="24" customHeight="1">
      <c r="A17" s="2"/>
      <c r="B17" s="32"/>
      <c r="C17" s="33"/>
      <c r="D17" s="34"/>
      <c r="E17" s="34"/>
      <c r="F17" s="34"/>
      <c r="G17" s="34"/>
      <c r="H17" s="34"/>
      <c r="I17" s="35"/>
      <c r="J17" s="2"/>
      <c r="L17" s="18"/>
      <c r="M17" s="18"/>
      <c r="N17" s="18"/>
    </row>
    <row r="18" spans="1:14" ht="24" customHeight="1">
      <c r="A18" s="2"/>
      <c r="B18" s="36"/>
      <c r="C18" s="37"/>
      <c r="D18" s="38"/>
      <c r="E18" s="38"/>
      <c r="F18" s="38"/>
      <c r="G18" s="39"/>
      <c r="H18" s="39"/>
      <c r="I18" s="40"/>
      <c r="J18" s="2"/>
    </row>
    <row r="19" spans="1:14" ht="24" customHeight="1">
      <c r="A19" s="2"/>
      <c r="B19" s="219" t="s">
        <v>8</v>
      </c>
      <c r="C19" s="221" t="s">
        <v>51</v>
      </c>
      <c r="D19" s="222"/>
      <c r="E19" s="222"/>
      <c r="F19" s="222"/>
      <c r="G19" s="222"/>
      <c r="H19" s="222"/>
      <c r="I19" s="223"/>
      <c r="J19" s="2"/>
    </row>
    <row r="20" spans="1:14" ht="24" customHeight="1" thickBot="1">
      <c r="A20" s="3"/>
      <c r="B20" s="220"/>
      <c r="C20" s="224"/>
      <c r="D20" s="225"/>
      <c r="E20" s="225"/>
      <c r="F20" s="225"/>
      <c r="G20" s="225"/>
      <c r="H20" s="225"/>
      <c r="I20" s="226"/>
      <c r="J20" s="3"/>
    </row>
    <row r="21" spans="1:14" ht="10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199999999999999" customHeight="1"/>
  </sheetData>
  <mergeCells count="5">
    <mergeCell ref="B12:D12"/>
    <mergeCell ref="B19:B20"/>
    <mergeCell ref="C19:I19"/>
    <mergeCell ref="C20:I20"/>
    <mergeCell ref="B1:I1"/>
  </mergeCells>
  <phoneticPr fontId="1" type="noConversion"/>
  <conditionalFormatting sqref="N16: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S419"/>
  <sheetViews>
    <sheetView view="pageBreakPreview" zoomScaleNormal="100" zoomScaleSheetLayoutView="100" workbookViewId="0">
      <pane xSplit="6" ySplit="3" topLeftCell="G4" activePane="bottomRight" state="frozen"/>
      <selection pane="topRight"/>
      <selection pane="bottomLeft"/>
      <selection pane="bottomRight" sqref="A1:O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147" customWidth="1" outlineLevel="1"/>
    <col min="5" max="5" width="6.640625" style="21" customWidth="1"/>
    <col min="6" max="6" width="6.640625" style="75" customWidth="1"/>
    <col min="7" max="8" width="12.640625" style="187" customWidth="1" outlineLevel="1"/>
    <col min="9" max="13" width="12.640625" style="67" customWidth="1"/>
    <col min="14" max="14" width="12.640625" style="187" customWidth="1" outlineLevel="1"/>
    <col min="15" max="15" width="20.640625" style="76" customWidth="1"/>
    <col min="16" max="16" width="20.640625" style="115" customWidth="1"/>
    <col min="17" max="18" width="20.640625" style="21" customWidth="1"/>
    <col min="19" max="19" width="34.640625" style="21" customWidth="1"/>
    <col min="20" max="67" width="9" style="21"/>
    <col min="68" max="68" width="24.640625" style="24" customWidth="1"/>
    <col min="69" max="16384" width="9" style="21"/>
  </cols>
  <sheetData>
    <row r="1" spans="1:71" s="74" customFormat="1" ht="21" customHeight="1" thickBot="1">
      <c r="A1" s="234">
        <f>"▣ 공사명 : "&amp;갑지!C5</f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149"/>
      <c r="BP1" s="92"/>
    </row>
    <row r="2" spans="1:71" s="27" customFormat="1" ht="21" customHeight="1">
      <c r="A2" s="235" t="s">
        <v>7</v>
      </c>
      <c r="B2" s="237" t="s">
        <v>29</v>
      </c>
      <c r="C2" s="239" t="s">
        <v>27</v>
      </c>
      <c r="D2" s="249" t="s">
        <v>52</v>
      </c>
      <c r="E2" s="241" t="s">
        <v>2</v>
      </c>
      <c r="F2" s="243" t="s">
        <v>5</v>
      </c>
      <c r="G2" s="251" t="s">
        <v>71</v>
      </c>
      <c r="H2" s="251"/>
      <c r="I2" s="245" t="s">
        <v>11</v>
      </c>
      <c r="J2" s="245"/>
      <c r="K2" s="245" t="s">
        <v>12</v>
      </c>
      <c r="L2" s="245"/>
      <c r="M2" s="245" t="s">
        <v>15</v>
      </c>
      <c r="N2" s="252" t="s">
        <v>72</v>
      </c>
      <c r="O2" s="247" t="s">
        <v>8</v>
      </c>
      <c r="P2" s="254" t="s">
        <v>56</v>
      </c>
      <c r="Q2" s="255" t="s">
        <v>57</v>
      </c>
      <c r="R2" s="255" t="s">
        <v>58</v>
      </c>
      <c r="T2" s="256" t="s">
        <v>59</v>
      </c>
      <c r="U2" s="150" t="s">
        <v>60</v>
      </c>
      <c r="V2" s="151" t="s">
        <v>82</v>
      </c>
      <c r="W2" s="258" t="s">
        <v>61</v>
      </c>
      <c r="X2" s="258"/>
      <c r="Y2" s="258" t="s">
        <v>73</v>
      </c>
      <c r="Z2" s="258"/>
      <c r="AA2" s="258" t="s">
        <v>74</v>
      </c>
      <c r="AB2" s="258"/>
      <c r="AC2" s="258" t="s">
        <v>75</v>
      </c>
      <c r="AD2" s="258"/>
      <c r="AE2" s="258" t="s">
        <v>76</v>
      </c>
      <c r="AF2" s="258"/>
      <c r="AG2" s="258" t="s">
        <v>77</v>
      </c>
      <c r="AH2" s="258"/>
      <c r="AI2" s="258" t="s">
        <v>78</v>
      </c>
      <c r="AJ2" s="258"/>
      <c r="AK2" s="258" t="s">
        <v>62</v>
      </c>
      <c r="AL2" s="258"/>
      <c r="AM2" s="258" t="s">
        <v>79</v>
      </c>
      <c r="AN2" s="258"/>
      <c r="AO2" s="258" t="s">
        <v>80</v>
      </c>
      <c r="AP2" s="258"/>
      <c r="AQ2" s="258" t="s">
        <v>63</v>
      </c>
      <c r="AR2" s="258"/>
      <c r="AS2" s="258" t="s">
        <v>81</v>
      </c>
      <c r="AT2" s="258"/>
      <c r="AU2" s="258" t="s">
        <v>64</v>
      </c>
      <c r="AV2" s="258"/>
      <c r="AW2" s="258" t="s">
        <v>65</v>
      </c>
      <c r="AX2" s="258"/>
      <c r="AY2" s="258" t="s">
        <v>66</v>
      </c>
      <c r="AZ2" s="258"/>
      <c r="BA2" s="260" t="s">
        <v>67</v>
      </c>
      <c r="BB2" s="260"/>
      <c r="BC2" s="259" t="s">
        <v>68</v>
      </c>
      <c r="BD2" s="259"/>
      <c r="BP2" s="93"/>
    </row>
    <row r="3" spans="1:71" s="27" customFormat="1" ht="21" customHeight="1">
      <c r="A3" s="236"/>
      <c r="B3" s="238"/>
      <c r="C3" s="240"/>
      <c r="D3" s="250"/>
      <c r="E3" s="242"/>
      <c r="F3" s="244"/>
      <c r="G3" s="176" t="s">
        <v>9</v>
      </c>
      <c r="H3" s="176" t="s">
        <v>3</v>
      </c>
      <c r="I3" s="94" t="s">
        <v>9</v>
      </c>
      <c r="J3" s="94" t="s">
        <v>3</v>
      </c>
      <c r="K3" s="94" t="s">
        <v>9</v>
      </c>
      <c r="L3" s="94" t="s">
        <v>3</v>
      </c>
      <c r="M3" s="246"/>
      <c r="N3" s="253"/>
      <c r="O3" s="248"/>
      <c r="P3" s="254"/>
      <c r="Q3" s="255"/>
      <c r="R3" s="255"/>
      <c r="T3" s="257"/>
      <c r="U3" s="150">
        <v>0</v>
      </c>
      <c r="V3" s="151" t="s">
        <v>69</v>
      </c>
      <c r="W3" s="153" t="s">
        <v>70</v>
      </c>
      <c r="X3" s="151">
        <v>324979</v>
      </c>
      <c r="Y3" s="153" t="s">
        <v>70</v>
      </c>
      <c r="Z3" s="151">
        <v>304662</v>
      </c>
      <c r="AA3" s="153" t="s">
        <v>70</v>
      </c>
      <c r="AB3" s="151">
        <v>316875</v>
      </c>
      <c r="AC3" s="153" t="s">
        <v>70</v>
      </c>
      <c r="AD3" s="151">
        <v>172698</v>
      </c>
      <c r="AE3" s="153" t="s">
        <v>70</v>
      </c>
      <c r="AF3" s="151">
        <v>286219</v>
      </c>
      <c r="AG3" s="153" t="s">
        <v>70</v>
      </c>
      <c r="AH3" s="151">
        <v>360084</v>
      </c>
      <c r="AI3" s="153" t="s">
        <v>70</v>
      </c>
      <c r="AJ3" s="151">
        <v>306274</v>
      </c>
      <c r="AK3" s="153" t="s">
        <v>70</v>
      </c>
      <c r="AL3" s="151">
        <v>438070</v>
      </c>
      <c r="AM3" s="153" t="s">
        <v>70</v>
      </c>
      <c r="AN3" s="151">
        <v>276108</v>
      </c>
      <c r="AO3" s="153" t="s">
        <v>70</v>
      </c>
      <c r="AP3" s="151">
        <v>234041</v>
      </c>
      <c r="AQ3" s="153" t="s">
        <v>70</v>
      </c>
      <c r="AR3" s="151">
        <v>258904</v>
      </c>
      <c r="AS3" s="153" t="s">
        <v>70</v>
      </c>
      <c r="AT3" s="151">
        <v>471931</v>
      </c>
      <c r="AU3" s="153" t="s">
        <v>70</v>
      </c>
      <c r="AV3" s="151">
        <v>398279</v>
      </c>
      <c r="AW3" s="151" t="s">
        <v>70</v>
      </c>
      <c r="AX3" s="151">
        <v>446560</v>
      </c>
      <c r="AY3" s="153" t="s">
        <v>70</v>
      </c>
      <c r="AZ3" s="151">
        <v>228717</v>
      </c>
      <c r="BA3" s="151" t="s">
        <v>70</v>
      </c>
      <c r="BB3" s="151">
        <v>250000</v>
      </c>
      <c r="BC3" s="154" t="s">
        <v>70</v>
      </c>
      <c r="BD3" s="151">
        <v>282990</v>
      </c>
      <c r="BP3" s="93"/>
    </row>
    <row r="4" spans="1:71" s="27" customFormat="1" ht="21" customHeight="1">
      <c r="A4" s="108" t="s">
        <v>6</v>
      </c>
      <c r="B4" s="81" t="s">
        <v>31</v>
      </c>
      <c r="C4" s="82"/>
      <c r="D4" s="136"/>
      <c r="E4" s="83"/>
      <c r="F4" s="84"/>
      <c r="G4" s="178"/>
      <c r="H4" s="179"/>
      <c r="I4" s="52"/>
      <c r="J4" s="80"/>
      <c r="K4" s="80"/>
      <c r="L4" s="80"/>
      <c r="M4" s="80"/>
      <c r="N4" s="179"/>
      <c r="O4" s="126"/>
      <c r="P4" s="155"/>
      <c r="Q4" s="156"/>
      <c r="R4" s="156"/>
      <c r="T4" s="157"/>
      <c r="U4" s="157"/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  <c r="AG4" s="157"/>
      <c r="AH4" s="157"/>
      <c r="AI4" s="157"/>
      <c r="AJ4" s="157"/>
      <c r="AK4" s="157"/>
      <c r="AL4" s="157"/>
      <c r="AM4" s="157"/>
      <c r="AN4" s="157"/>
      <c r="AO4" s="157"/>
      <c r="AP4" s="157"/>
      <c r="AQ4" s="157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157"/>
      <c r="BP4" s="72"/>
    </row>
    <row r="5" spans="1:71" ht="21" customHeight="1">
      <c r="A5" s="98"/>
      <c r="B5" s="99"/>
      <c r="C5" s="100"/>
      <c r="D5" s="137"/>
      <c r="E5" s="101"/>
      <c r="F5" s="55"/>
      <c r="G5" s="180"/>
      <c r="H5" s="181"/>
      <c r="I5" s="56"/>
      <c r="J5" s="102"/>
      <c r="K5" s="22"/>
      <c r="L5" s="102"/>
      <c r="M5" s="22"/>
      <c r="N5" s="182"/>
      <c r="O5" s="103"/>
      <c r="P5" s="158"/>
      <c r="Q5" s="159"/>
      <c r="R5" s="159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</row>
    <row r="6" spans="1:71" ht="21" customHeight="1">
      <c r="A6" s="79"/>
      <c r="B6" s="54"/>
      <c r="C6" s="62"/>
      <c r="D6" s="138"/>
      <c r="E6" s="56"/>
      <c r="F6" s="55"/>
      <c r="G6" s="182"/>
      <c r="H6" s="177"/>
      <c r="I6" s="22"/>
      <c r="J6" s="22"/>
      <c r="K6" s="22"/>
      <c r="L6" s="56"/>
      <c r="M6" s="22"/>
      <c r="N6" s="188"/>
      <c r="O6" s="127"/>
      <c r="P6" s="161"/>
      <c r="Q6" s="162"/>
      <c r="R6" s="163"/>
      <c r="S6" s="164"/>
      <c r="T6" s="152"/>
      <c r="U6" s="165"/>
      <c r="V6" s="151"/>
      <c r="W6" s="166"/>
      <c r="X6" s="151"/>
      <c r="Y6" s="166"/>
      <c r="Z6" s="151"/>
      <c r="AA6" s="166"/>
      <c r="AB6" s="151"/>
      <c r="AC6" s="166"/>
      <c r="AD6" s="151"/>
      <c r="AE6" s="167"/>
      <c r="AF6" s="151"/>
      <c r="AG6" s="168"/>
      <c r="AH6" s="151"/>
      <c r="AI6" s="168"/>
      <c r="AJ6" s="151"/>
      <c r="AK6" s="168"/>
      <c r="AL6" s="151"/>
      <c r="AM6" s="168"/>
      <c r="AN6" s="151"/>
      <c r="AO6" s="168"/>
      <c r="AP6" s="151"/>
      <c r="AQ6" s="168"/>
      <c r="AR6" s="151"/>
      <c r="AS6" s="168"/>
      <c r="AT6" s="151"/>
      <c r="AU6" s="168"/>
      <c r="AV6" s="151"/>
      <c r="AW6" s="168"/>
      <c r="AX6" s="151"/>
      <c r="AY6" s="168"/>
      <c r="AZ6" s="151"/>
      <c r="BA6" s="167"/>
      <c r="BB6" s="151"/>
      <c r="BC6" s="169"/>
      <c r="BD6" s="151"/>
      <c r="BE6" s="170"/>
      <c r="BF6" s="170"/>
      <c r="BG6" s="170"/>
      <c r="BH6" s="170"/>
      <c r="BI6" s="170"/>
      <c r="BJ6" s="170"/>
      <c r="BK6" s="170"/>
      <c r="BL6" s="170"/>
      <c r="BM6" s="170"/>
      <c r="BN6" s="170"/>
      <c r="BO6" s="170"/>
    </row>
    <row r="7" spans="1:71" ht="21" customHeight="1">
      <c r="A7" s="79"/>
      <c r="B7" s="25"/>
      <c r="C7" s="73"/>
      <c r="D7" s="139"/>
      <c r="E7" s="57"/>
      <c r="F7" s="55"/>
      <c r="G7" s="182"/>
      <c r="H7" s="177"/>
      <c r="I7" s="22"/>
      <c r="J7" s="22"/>
      <c r="K7" s="22"/>
      <c r="L7" s="56"/>
      <c r="M7" s="22"/>
      <c r="N7" s="188"/>
      <c r="O7" s="128"/>
      <c r="P7" s="171"/>
      <c r="Q7" s="160"/>
      <c r="R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</row>
    <row r="8" spans="1:71" ht="21" customHeight="1">
      <c r="A8" s="79"/>
      <c r="B8" s="25"/>
      <c r="C8" s="73"/>
      <c r="D8" s="139"/>
      <c r="E8" s="57"/>
      <c r="F8" s="55"/>
      <c r="G8" s="182"/>
      <c r="H8" s="177"/>
      <c r="I8" s="23"/>
      <c r="J8" s="22"/>
      <c r="K8" s="22"/>
      <c r="L8" s="56"/>
      <c r="M8" s="22"/>
      <c r="N8" s="188"/>
      <c r="O8" s="128"/>
      <c r="P8" s="171"/>
      <c r="Q8" s="160"/>
      <c r="R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</row>
    <row r="9" spans="1:71" ht="21" customHeight="1">
      <c r="A9" s="79"/>
      <c r="B9" s="54"/>
      <c r="C9" s="73"/>
      <c r="D9" s="139"/>
      <c r="E9" s="57"/>
      <c r="F9" s="55"/>
      <c r="G9" s="182"/>
      <c r="H9" s="177"/>
      <c r="I9" s="22"/>
      <c r="J9" s="22"/>
      <c r="K9" s="22"/>
      <c r="L9" s="56"/>
      <c r="M9" s="22"/>
      <c r="N9" s="188"/>
      <c r="O9" s="129"/>
      <c r="P9" s="171"/>
      <c r="Q9" s="160"/>
      <c r="R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</row>
    <row r="10" spans="1:71" ht="21" customHeight="1">
      <c r="A10" s="79"/>
      <c r="B10" s="73"/>
      <c r="C10" s="77"/>
      <c r="D10" s="140"/>
      <c r="E10" s="53"/>
      <c r="F10" s="59"/>
      <c r="G10" s="182"/>
      <c r="H10" s="177"/>
      <c r="I10" s="22"/>
      <c r="J10" s="22"/>
      <c r="K10" s="22"/>
      <c r="L10" s="56"/>
      <c r="M10" s="22"/>
      <c r="N10" s="188"/>
      <c r="O10" s="129"/>
      <c r="P10" s="172"/>
      <c r="Q10" s="160"/>
      <c r="R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P10" s="86"/>
    </row>
    <row r="11" spans="1:71" ht="21" customHeight="1">
      <c r="A11" s="79"/>
      <c r="B11" s="54"/>
      <c r="C11" s="60"/>
      <c r="D11" s="141"/>
      <c r="E11" s="56"/>
      <c r="F11" s="55"/>
      <c r="G11" s="182"/>
      <c r="H11" s="177"/>
      <c r="I11" s="22"/>
      <c r="J11" s="22"/>
      <c r="K11" s="22"/>
      <c r="L11" s="56"/>
      <c r="M11" s="22"/>
      <c r="N11" s="188"/>
      <c r="O11" s="129"/>
      <c r="P11" s="173"/>
      <c r="Q11" s="160"/>
      <c r="R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P11" s="85"/>
    </row>
    <row r="12" spans="1:71" s="27" customFormat="1" ht="21" customHeight="1">
      <c r="A12" s="79"/>
      <c r="B12" s="70"/>
      <c r="C12" s="95"/>
      <c r="D12" s="142"/>
      <c r="E12" s="78"/>
      <c r="F12" s="59"/>
      <c r="G12" s="182"/>
      <c r="H12" s="177"/>
      <c r="I12" s="23"/>
      <c r="J12" s="22"/>
      <c r="K12" s="22"/>
      <c r="L12" s="56"/>
      <c r="M12" s="22"/>
      <c r="N12" s="188"/>
      <c r="O12" s="130"/>
      <c r="P12" s="174"/>
      <c r="Q12" s="157"/>
      <c r="R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K12" s="157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P12" s="88"/>
    </row>
    <row r="13" spans="1:71" s="27" customFormat="1" ht="21" customHeight="1">
      <c r="A13" s="79">
        <f>A12+1</f>
      </c>
      <c r="B13" s="70" t="s">
        <v>23</v>
      </c>
      <c r="C13" s="71" t="s">
        <v>24</v>
      </c>
      <c r="D13" s="142"/>
      <c r="E13" s="78" t="s">
        <v>10</v>
      </c>
      <c r="F13" s="59">
        <v>1</v>
      </c>
      <c r="G13" s="183"/>
      <c r="H13" s="177">
        <f>F13*G13</f>
      </c>
      <c r="I13" s="53">
        <f>J12*40%</f>
      </c>
      <c r="J13" s="22">
        <f>I13*F13</f>
      </c>
      <c r="K13" s="22">
        <f>INT(SUM((U13*V13),V13)*T13)</f>
      </c>
      <c r="L13" s="56">
        <f>F13*K13</f>
      </c>
      <c r="M13" s="22">
        <f>+J13+L13</f>
      </c>
      <c r="N13" s="188">
        <f>IFERROR((I13/G13)-1,"-")</f>
      </c>
      <c r="O13" s="129"/>
      <c r="P13" s="174"/>
      <c r="Q13" s="157"/>
      <c r="R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P13" s="88"/>
    </row>
    <row r="14" spans="1:71" ht="21" customHeight="1">
      <c r="A14" s="97">
        <f>A13+1</f>
      </c>
      <c r="B14" s="68" t="s">
        <v>16</v>
      </c>
      <c r="C14" s="90" t="s">
        <v>26</v>
      </c>
      <c r="D14" s="143"/>
      <c r="E14" s="61" t="s">
        <v>17</v>
      </c>
      <c r="F14" s="58">
        <v>1</v>
      </c>
      <c r="G14" s="184">
        <f>INT(SUM(H6:H13)*2%)</f>
      </c>
      <c r="H14" s="190">
        <f>F14*G14</f>
      </c>
      <c r="I14" s="91">
        <f>INT(SUM(J6:J13)*2%)</f>
      </c>
      <c r="J14" s="26">
        <f>I14*F14</f>
      </c>
      <c r="K14" s="26">
        <f>INT(SUM((U14*V14),V14)*T14)</f>
      </c>
      <c r="L14" s="61">
        <f>F14*K14</f>
      </c>
      <c r="M14" s="26">
        <f>+J14+L14</f>
      </c>
      <c r="N14" s="189">
        <f>IFERROR((I14/G14)-1,"-")</f>
      </c>
      <c r="O14" s="131"/>
      <c r="P14" s="175"/>
      <c r="Q14" s="160"/>
      <c r="R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P14" s="89"/>
    </row>
    <row r="15" spans="1:71" s="69" customFormat="1" ht="21" customHeight="1">
      <c r="A15" s="232" t="s">
        <v>25</v>
      </c>
      <c r="B15" s="233"/>
      <c r="C15" s="233"/>
      <c r="D15" s="202"/>
      <c r="E15" s="203"/>
      <c r="F15" s="201"/>
      <c r="G15" s="204"/>
      <c r="H15" s="204">
        <f>SUM(H6:H14)</f>
      </c>
      <c r="I15" s="205"/>
      <c r="J15" s="205">
        <f>SUM(J6:J14)</f>
      </c>
      <c r="K15" s="205"/>
      <c r="L15" s="205">
        <f>SUM(L6:L14)</f>
      </c>
      <c r="M15" s="205">
        <f>SUM(M6:M14)</f>
      </c>
      <c r="N15" s="206">
        <f>AVERAGE(N6:N14)</f>
      </c>
      <c r="O15" s="207"/>
      <c r="P15" s="87"/>
      <c r="BP15" s="87"/>
    </row>
    <row r="16" spans="1:71" ht="21" customHeight="1">
      <c r="A16" s="107" t="s">
        <v>40</v>
      </c>
      <c r="B16" s="109" t="s">
        <v>41</v>
      </c>
      <c r="C16" s="110"/>
      <c r="D16" s="144"/>
      <c r="E16" s="111"/>
      <c r="F16" s="112"/>
      <c r="G16" s="185"/>
      <c r="H16" s="186"/>
      <c r="I16" s="113"/>
      <c r="J16" s="114"/>
      <c r="K16" s="114"/>
      <c r="L16" s="114"/>
      <c r="M16" s="114"/>
      <c r="N16" s="186"/>
      <c r="O16" s="132"/>
      <c r="P16" s="72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115"/>
      <c r="BR16" s="116"/>
      <c r="BS16" s="117"/>
    </row>
    <row r="17" spans="1:71" ht="21" customHeight="1">
      <c r="A17" s="79">
        <v>1</v>
      </c>
      <c r="B17" s="23" t="s">
        <v>42</v>
      </c>
      <c r="C17" s="118" t="s">
        <v>14</v>
      </c>
      <c r="D17" s="145"/>
      <c r="E17" s="119" t="s">
        <v>43</v>
      </c>
      <c r="F17" s="124">
        <v>0.06</v>
      </c>
      <c r="G17" s="182"/>
      <c r="H17" s="182"/>
      <c r="I17" s="22"/>
      <c r="J17" s="22"/>
      <c r="K17" s="22"/>
      <c r="L17" s="22"/>
      <c r="M17" s="22">
        <f>INT(M15*F17)</f>
      </c>
      <c r="N17" s="182"/>
      <c r="O17" s="133"/>
      <c r="P17" s="72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115"/>
      <c r="BR17" s="116"/>
      <c r="BS17" s="117"/>
    </row>
    <row r="18" spans="1:71" ht="21" customHeight="1">
      <c r="A18" s="79">
        <v>2</v>
      </c>
      <c r="B18" s="120" t="s">
        <v>35</v>
      </c>
      <c r="C18" s="118" t="s">
        <v>14</v>
      </c>
      <c r="D18" s="145"/>
      <c r="E18" s="55" t="s">
        <v>10</v>
      </c>
      <c r="F18" s="124">
        <v>2.07E-2</v>
      </c>
      <c r="G18" s="182"/>
      <c r="H18" s="181"/>
      <c r="I18" s="22"/>
      <c r="J18" s="102"/>
      <c r="K18" s="102"/>
      <c r="L18" s="102"/>
      <c r="M18" s="22">
        <f>INT(M15*F18)</f>
      </c>
      <c r="N18" s="182"/>
      <c r="O18" s="133"/>
      <c r="P18" s="72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115"/>
      <c r="BR18" s="116"/>
      <c r="BS18" s="117"/>
    </row>
    <row r="19" spans="1:71" ht="21" customHeight="1">
      <c r="A19" s="79">
        <v>3</v>
      </c>
      <c r="B19" s="120" t="s">
        <v>44</v>
      </c>
      <c r="C19" s="118" t="s">
        <v>22</v>
      </c>
      <c r="D19" s="145"/>
      <c r="E19" s="55" t="s">
        <v>10</v>
      </c>
      <c r="F19" s="124">
        <v>4.5699999999999998E-2</v>
      </c>
      <c r="G19" s="182"/>
      <c r="H19" s="181"/>
      <c r="I19" s="22"/>
      <c r="J19" s="102"/>
      <c r="K19" s="102"/>
      <c r="L19" s="102"/>
      <c r="M19" s="22">
        <f>INT(L15*F19)</f>
      </c>
      <c r="N19" s="182"/>
      <c r="O19" s="133"/>
      <c r="P19" s="72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115"/>
      <c r="BR19" s="116"/>
      <c r="BS19" s="117"/>
    </row>
    <row r="20" spans="1:71" ht="21" customHeight="1">
      <c r="A20" s="79">
        <v>4</v>
      </c>
      <c r="B20" s="121" t="s">
        <v>45</v>
      </c>
      <c r="C20" s="122" t="s">
        <v>22</v>
      </c>
      <c r="D20" s="146"/>
      <c r="E20" s="55" t="s">
        <v>10</v>
      </c>
      <c r="F20" s="124">
        <v>2.3E-2</v>
      </c>
      <c r="G20" s="182"/>
      <c r="H20" s="181"/>
      <c r="I20" s="22"/>
      <c r="J20" s="102"/>
      <c r="K20" s="102"/>
      <c r="L20" s="102"/>
      <c r="M20" s="22">
        <v>0</v>
      </c>
      <c r="N20" s="182"/>
      <c r="O20" s="129"/>
      <c r="P20" s="72" t="s">
        <v>50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115"/>
      <c r="BR20" s="116"/>
      <c r="BS20" s="117"/>
    </row>
    <row r="21" spans="1:71" ht="21" customHeight="1">
      <c r="A21" s="79">
        <v>5</v>
      </c>
      <c r="B21" s="121" t="s">
        <v>46</v>
      </c>
      <c r="C21" s="118" t="s">
        <v>22</v>
      </c>
      <c r="D21" s="145"/>
      <c r="E21" s="55" t="s">
        <v>10</v>
      </c>
      <c r="F21" s="124">
        <v>4.4999999999999998E-2</v>
      </c>
      <c r="G21" s="182"/>
      <c r="H21" s="182"/>
      <c r="I21" s="22"/>
      <c r="J21" s="22"/>
      <c r="K21" s="22"/>
      <c r="L21" s="22"/>
      <c r="M21" s="22">
        <v>0</v>
      </c>
      <c r="N21" s="182"/>
      <c r="O21" s="134"/>
      <c r="P21" s="72" t="s">
        <v>32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115"/>
      <c r="BR21" s="116"/>
      <c r="BS21" s="117"/>
    </row>
    <row r="22" spans="1:71" ht="21" customHeight="1">
      <c r="A22" s="79">
        <v>6</v>
      </c>
      <c r="B22" s="120" t="s">
        <v>47</v>
      </c>
      <c r="C22" s="118" t="s">
        <v>22</v>
      </c>
      <c r="D22" s="145"/>
      <c r="E22" s="56" t="s">
        <v>10</v>
      </c>
      <c r="F22" s="124">
        <v>3.5450000000000002E-2</v>
      </c>
      <c r="G22" s="182"/>
      <c r="H22" s="181"/>
      <c r="I22" s="22"/>
      <c r="J22" s="102"/>
      <c r="K22" s="102"/>
      <c r="L22" s="102"/>
      <c r="M22" s="22">
        <v>0</v>
      </c>
      <c r="N22" s="182"/>
      <c r="O22" s="134"/>
      <c r="P22" s="72" t="s">
        <v>32</v>
      </c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115"/>
      <c r="BR22" s="116"/>
      <c r="BS22" s="117"/>
    </row>
    <row r="23" spans="1:71" ht="21" customHeight="1">
      <c r="A23" s="97">
        <v>7</v>
      </c>
      <c r="B23" s="120" t="s">
        <v>33</v>
      </c>
      <c r="C23" s="118" t="s">
        <v>34</v>
      </c>
      <c r="D23" s="145"/>
      <c r="E23" s="55" t="s">
        <v>10</v>
      </c>
      <c r="F23" s="125">
        <v>0.1295</v>
      </c>
      <c r="G23" s="182"/>
      <c r="H23" s="181"/>
      <c r="I23" s="22"/>
      <c r="J23" s="102"/>
      <c r="K23" s="102"/>
      <c r="L23" s="102"/>
      <c r="M23" s="22">
        <v>0</v>
      </c>
      <c r="N23" s="182"/>
      <c r="O23" s="135"/>
      <c r="P23" s="72" t="s">
        <v>32</v>
      </c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115"/>
      <c r="BR23" s="116"/>
      <c r="BS23" s="117"/>
    </row>
    <row r="24" spans="1:71" ht="21" customHeight="1">
      <c r="A24" s="228" t="s">
        <v>48</v>
      </c>
      <c r="B24" s="229"/>
      <c r="C24" s="229"/>
      <c r="D24" s="208"/>
      <c r="E24" s="209"/>
      <c r="F24" s="209"/>
      <c r="G24" s="210"/>
      <c r="H24" s="211"/>
      <c r="I24" s="212"/>
      <c r="J24" s="213"/>
      <c r="K24" s="213"/>
      <c r="L24" s="213"/>
      <c r="M24" s="213">
        <f>SUM(M17:M23)</f>
      </c>
      <c r="N24" s="211"/>
      <c r="O24" s="214"/>
      <c r="P24" s="72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115"/>
      <c r="BR24" s="116"/>
      <c r="BS24" s="117"/>
    </row>
    <row r="25" spans="1:71" ht="21" customHeight="1" thickBot="1">
      <c r="A25" s="230" t="s">
        <v>28</v>
      </c>
      <c r="B25" s="231"/>
      <c r="C25" s="231"/>
      <c r="D25" s="195"/>
      <c r="E25" s="196"/>
      <c r="F25" s="196"/>
      <c r="G25" s="197"/>
      <c r="H25" s="197"/>
      <c r="I25" s="197"/>
      <c r="J25" s="197"/>
      <c r="K25" s="197"/>
      <c r="L25" s="194"/>
      <c r="M25" s="198">
        <f>M15+M24</f>
      </c>
      <c r="N25" s="199"/>
      <c r="O25" s="200"/>
      <c r="P25" s="72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115"/>
      <c r="BR25" s="116"/>
      <c r="BS25" s="117"/>
    </row>
    <row r="26" spans="1:71" ht="21" customHeight="1">
      <c r="P26" s="215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1"/>
    </row>
    <row r="27" spans="1:71" ht="21" customHeight="1">
      <c r="P27" s="215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1"/>
    </row>
    <row r="28" spans="1:71" ht="21" customHeight="1">
      <c r="P28" s="216"/>
    </row>
    <row r="29" spans="1:71" ht="21" customHeight="1">
      <c r="P29" s="216"/>
    </row>
    <row r="30" spans="1:71" ht="21" customHeight="1"/>
    <row r="31" spans="1:71" ht="21" customHeight="1"/>
    <row r="32" spans="1:71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</sheetData>
  <mergeCells count="37">
    <mergeCell ref="BC2:BD2"/>
    <mergeCell ref="AS2:AT2"/>
    <mergeCell ref="AU2:AV2"/>
    <mergeCell ref="AW2:AX2"/>
    <mergeCell ref="AY2:AZ2"/>
    <mergeCell ref="BA2:BB2"/>
    <mergeCell ref="AI2:AJ2"/>
    <mergeCell ref="AK2:AL2"/>
    <mergeCell ref="AM2:AN2"/>
    <mergeCell ref="AO2:AP2"/>
    <mergeCell ref="AQ2:AR2"/>
    <mergeCell ref="Y2:Z2"/>
    <mergeCell ref="AA2:AB2"/>
    <mergeCell ref="AC2:AD2"/>
    <mergeCell ref="AE2:AF2"/>
    <mergeCell ref="AG2:AH2"/>
    <mergeCell ref="P2:P3"/>
    <mergeCell ref="Q2:Q3"/>
    <mergeCell ref="R2:R3"/>
    <mergeCell ref="T2:T3"/>
    <mergeCell ref="W2:X2"/>
    <mergeCell ref="A24:C24"/>
    <mergeCell ref="A25:C25"/>
    <mergeCell ref="A15:C15"/>
    <mergeCell ref="A1:O1"/>
    <mergeCell ref="A2:A3"/>
    <mergeCell ref="B2:B3"/>
    <mergeCell ref="C2:C3"/>
    <mergeCell ref="E2:E3"/>
    <mergeCell ref="F2:F3"/>
    <mergeCell ref="I2:J2"/>
    <mergeCell ref="K2:L2"/>
    <mergeCell ref="M2:M3"/>
    <mergeCell ref="O2:O3"/>
    <mergeCell ref="D2:D3"/>
    <mergeCell ref="G2:H2"/>
    <mergeCell ref="N2:N3"/>
  </mergeCells>
  <phoneticPr fontId="1" type="noConversion"/>
  <conditionalFormatting sqref="N2:N3">
    <cfRule type="dataBar" priority="2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{187A8BB8-01DE-49AE-BB3A-106A8532FACA}</x14:id>
        </ext>
      </extLst>
    </cfRule>
  </conditionalFormatting>
  <conditionalFormatting sqref="N6:N14">
    <cfRule type="dataBar" priority="1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{B910EFDD-35C4-4D05-9A65-C8D9F083D6B7}</x14:id>
        </ext>
      </extLst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58" fitToHeight="0" orientation="landscape"/>
  <headerFooter scaleWithDoc="0">
    <oddFooter xml:space="preserve">&amp;C&amp;P / &amp;N&amp;R㈜서울영상테크    </oddFooter>
  </headerFooter>
  <ignoredErrors>
    <ignoredError sqref="F10:F12 I13:I14" unlocked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7A8BB8-01DE-49AE-BB3A-106A8532FACA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N2:N3</xm:sqref>
        </x14:conditionalFormatting>
        <x14:conditionalFormatting xmlns:xm="http://schemas.microsoft.com/office/excel/2006/main">
          <x14:cfRule type="dataBar" id="{B910EFDD-35C4-4D05-9A65-C8D9F083D6B7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N6:N14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