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C89E4880-F1B2-45AE-9141-BFBA17D3D0E4}" xr6:coauthVersionLast="47" xr6:coauthVersionMax="47" xr10:uidLastSave="{00000000-0000-0000-0000-000000000000}"/>
  <bookViews>
    <workbookView xWindow="32811" yWindow="-103" windowWidth="33120" windowHeight="18000" tabRatio="823" xr2:uid="{00000000-000D-0000-FFFF-FFFF00000000}"/>
  </bookViews>
  <sheets>
    <sheet name="갑지" sheetId="1" r:id="rId1"/>
    <sheet name="세부내역" sheetId="2" r:id="rId2"/>
  </sheets>
  <definedNames>
    <definedName name="_xlnm.Print_Area" localSheetId="0">갑지!$A$1:$J$21</definedName>
    <definedName name="_xlnm.Print_Area" localSheetId="1">세부내역!$A$1:$O$25</definedName>
    <definedName name="_xlnm.Print_Titles" localSheetId="1">세부내역!$1:$3</definedName>
  </definedNames>
  <calcPr calcId="191029"/>
  <customWorkbookViews>
    <customWorkbookView name="박수백 - 사용자 보기" guid="{1FA04683-E8B6-40FB-A56A-4A427B1A01C5}" mergeInterval="0" personalView="1" maximized="1" xWindow="-8" yWindow="-8" windowWidth="1936" windowHeight="1056" tabRatio="82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<sst xmlns="http://schemas.openxmlformats.org/spreadsheetml/2006/main" count="83" uniqueCount="83">
  <si>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합     계</t>
    <phoneticPr fontId="4" type="noConversion"/>
  </si>
  <si>
    <t>품     명</t>
    <phoneticPr fontId="4" type="noConversion"/>
  </si>
  <si>
    <t>단위</t>
    <phoneticPr fontId="4" type="noConversion"/>
  </si>
  <si>
    <t>금 액</t>
    <phoneticPr fontId="4" type="noConversion"/>
  </si>
  <si>
    <t>No.</t>
    <phoneticPr fontId="4" type="noConversion"/>
  </si>
  <si>
    <t>수량</t>
    <phoneticPr fontId="4" type="noConversion"/>
  </si>
  <si>
    <t>Ⅰ</t>
    <phoneticPr fontId="4" type="noConversion"/>
  </si>
  <si>
    <t>번호</t>
  </si>
  <si>
    <t>비 고</t>
    <phoneticPr fontId="4" type="noConversion"/>
  </si>
  <si>
    <t>단 가</t>
    <phoneticPr fontId="4" type="noConversion"/>
  </si>
  <si>
    <t>식</t>
  </si>
  <si>
    <t>재료비</t>
    <phoneticPr fontId="4" type="noConversion"/>
  </si>
  <si>
    <t>노무비</t>
    <phoneticPr fontId="4" type="noConversion"/>
  </si>
  <si>
    <t>식</t>
    <phoneticPr fontId="1" type="noConversion"/>
  </si>
  <si>
    <t>직접비 대비</t>
  </si>
  <si>
    <t>합 계</t>
    <phoneticPr fontId="4" type="noConversion"/>
  </si>
  <si>
    <t>잡자재비</t>
    <phoneticPr fontId="16" type="noConversion"/>
  </si>
  <si>
    <t>식</t>
    <phoneticPr fontId="16" type="noConversion"/>
  </si>
  <si>
    <t xml:space="preserve">  규     격</t>
    <phoneticPr fontId="4" type="noConversion"/>
  </si>
  <si>
    <t>견   적   서</t>
    <phoneticPr fontId="4" type="noConversion"/>
  </si>
  <si>
    <t>아래와 같이 견적합니다.</t>
    <phoneticPr fontId="1" type="noConversion"/>
  </si>
  <si>
    <t>순위</t>
    <phoneticPr fontId="4" type="noConversion"/>
  </si>
  <si>
    <t>노무비 대비</t>
  </si>
  <si>
    <t>배관 기타자재</t>
  </si>
  <si>
    <t>배관자재40%</t>
    <phoneticPr fontId="1" type="noConversion"/>
  </si>
  <si>
    <t>직접비계</t>
  </si>
  <si>
    <t>자재비의 2%</t>
    <phoneticPr fontId="1" type="noConversion"/>
  </si>
  <si>
    <t>규   격</t>
    <phoneticPr fontId="4" type="noConversion"/>
  </si>
  <si>
    <t>합      계</t>
    <phoneticPr fontId="4" type="noConversion"/>
  </si>
  <si>
    <t>품   명</t>
    <phoneticPr fontId="1" type="noConversion"/>
  </si>
  <si>
    <t>천원미만절사</t>
    <phoneticPr fontId="1" type="noConversion"/>
  </si>
  <si>
    <t>직접비</t>
    <phoneticPr fontId="4" type="noConversion"/>
  </si>
  <si>
    <t>1개월 이상 공사 限</t>
  </si>
  <si>
    <t>노인장기요양보험료</t>
  </si>
  <si>
    <t>건강보험료 대비</t>
  </si>
  <si>
    <t>산업안전보건관리비</t>
  </si>
  <si>
    <t>견적일 :</t>
    <phoneticPr fontId="4" type="noConversion"/>
  </si>
  <si>
    <t>견적처 :</t>
    <phoneticPr fontId="4" type="noConversion"/>
  </si>
  <si>
    <t>견적명 :</t>
    <phoneticPr fontId="4" type="noConversion"/>
  </si>
  <si>
    <t>담당자 :</t>
    <phoneticPr fontId="4" type="noConversion"/>
  </si>
  <si>
    <t>Ⅱ</t>
    <phoneticPr fontId="4" type="noConversion"/>
  </si>
  <si>
    <t>간접비</t>
    <phoneticPr fontId="16" type="noConversion"/>
  </si>
  <si>
    <t>일반관리비</t>
  </si>
  <si>
    <t>식</t>
    <phoneticPr fontId="4" type="noConversion"/>
  </si>
  <si>
    <t>산재 및 고용보험료</t>
  </si>
  <si>
    <t>퇴직공제부금</t>
    <phoneticPr fontId="1" type="noConversion"/>
  </si>
  <si>
    <t>국민연금보험료</t>
  </si>
  <si>
    <t>국민건강보험료</t>
  </si>
  <si>
    <t>간접비계</t>
    <phoneticPr fontId="16" type="noConversion"/>
  </si>
  <si>
    <t>금  액 :</t>
    <phoneticPr fontId="1" type="noConversion"/>
  </si>
  <si>
    <t>1억원 이상 공사 限</t>
  </si>
  <si>
    <t xml:space="preserve"> - 인테리어 보강 / 전기공사 제외</t>
    <phoneticPr fontId="1" type="noConversion"/>
  </si>
  <si>
    <t>설   명</t>
    <phoneticPr fontId="4" type="noConversion"/>
  </si>
  <si>
    <t>건물이름, 위치 작성</t>
    <phoneticPr fontId="4" type="noConversion"/>
  </si>
  <si>
    <t>건명 타이틀</t>
    <phoneticPr fontId="1" type="noConversion"/>
  </si>
  <si>
    <t>세부내역 요약</t>
    <phoneticPr fontId="1" type="noConversion"/>
  </si>
  <si>
    <t>제조사/구매처</t>
    <phoneticPr fontId="1" type="noConversion"/>
  </si>
  <si>
    <t>영업비고</t>
    <phoneticPr fontId="1" type="noConversion"/>
  </si>
  <si>
    <t>노무비</t>
    <phoneticPr fontId="1" type="noConversion"/>
  </si>
  <si>
    <t>품목별
요율%</t>
    <phoneticPr fontId="4" type="noConversion"/>
  </si>
  <si>
    <t>할증</t>
    <phoneticPr fontId="4" type="noConversion"/>
  </si>
  <si>
    <t>통신관련기사</t>
  </si>
  <si>
    <t>통신케이블공</t>
    <phoneticPr fontId="16" type="noConversion"/>
  </si>
  <si>
    <t>내장공</t>
    <phoneticPr fontId="16" type="noConversion"/>
  </si>
  <si>
    <t>H/W시험사</t>
    <phoneticPr fontId="4" type="noConversion"/>
  </si>
  <si>
    <t>S/W시험사</t>
    <phoneticPr fontId="4" type="noConversion"/>
  </si>
  <si>
    <t>특별인부</t>
    <phoneticPr fontId="4" type="noConversion"/>
  </si>
  <si>
    <t>통신관련 기능사</t>
    <phoneticPr fontId="4" type="noConversion"/>
  </si>
  <si>
    <t>건축목공</t>
    <phoneticPr fontId="4" type="noConversion"/>
  </si>
  <si>
    <t>표준 단가</t>
    <phoneticPr fontId="16" type="noConversion"/>
  </si>
  <si>
    <t>M/D</t>
  </si>
  <si>
    <t>원   가</t>
    <phoneticPr fontId="4" type="noConversion"/>
  </si>
  <si>
    <t>재료비 이윤</t>
    <phoneticPr fontId="1" type="noConversion"/>
  </si>
  <si>
    <t>통신관련산업기사</t>
    <phoneticPr fontId="1" type="noConversion"/>
  </si>
  <si>
    <t>통신설비공</t>
    <phoneticPr fontId="1" type="noConversion"/>
  </si>
  <si>
    <t>보통인부</t>
    <phoneticPr fontId="1" type="noConversion"/>
  </si>
  <si>
    <t>통신내선공</t>
    <phoneticPr fontId="1" type="noConversion"/>
  </si>
  <si>
    <t>무선안테나공</t>
    <phoneticPr fontId="1" type="noConversion"/>
  </si>
  <si>
    <t>저압케이블공</t>
    <phoneticPr fontId="1" type="noConversion"/>
  </si>
  <si>
    <t>내선전공</t>
    <phoneticPr fontId="1" type="noConversion"/>
  </si>
  <si>
    <t>플랜트기계설치공</t>
    <phoneticPr fontId="1" type="noConversion"/>
  </si>
  <si>
    <t>광케이블설치사</t>
    <phoneticPr fontId="1" type="noConversion"/>
  </si>
  <si>
    <t>26년 하반기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</si>
</sst>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_-* #,##0.0_-;\-* #,##0.0_-;_-* &quot;-&quot;?_-;_-@_-"/>
    <numFmt numFmtId="178" formatCode="0.000%"/>
    <numFmt numFmtId="179" formatCode="_-* #,##0.00_-;\-* #,##0.00_-;_-* &quot;-&quot;_-;_-@_-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0"/>
      <name val="굴림체"/>
      <family val="3"/>
      <charset val="129"/>
    </font>
    <font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3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4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  <xf numFmtId="9" fontId="24" fillId="0" borderId="0" applyFon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1" fontId="3" fillId="0" borderId="0" xfId="0" applyNumberFormat="1" applyFont="1" applyAlignment="1">
      <alignment horizontal="right" vertical="center"/>
    </xf>
    <xf numFmtId="0" fontId="9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/>
    <xf numFmtId="0" fontId="8" fillId="0" borderId="0" xfId="0" applyFont="1" applyAlignment="1">
      <alignment horizontal="center"/>
    </xf>
    <xf numFmtId="41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9" fillId="0" borderId="0" xfId="0" applyFont="1" applyAlignment="1">
      <alignment vertical="center" shrinkToFit="1"/>
    </xf>
    <xf numFmtId="0" fontId="13" fillId="0" borderId="0" xfId="0" applyFont="1">
      <alignment vertical="center"/>
    </xf>
    <xf numFmtId="41" fontId="13" fillId="0" borderId="4" xfId="0" applyNumberFormat="1" applyFont="1" applyBorder="1">
      <alignment vertical="center"/>
    </xf>
    <xf numFmtId="41" fontId="14" fillId="0" borderId="4" xfId="0" applyNumberFormat="1" applyFont="1" applyBorder="1">
      <alignment vertical="center"/>
    </xf>
    <xf numFmtId="41" fontId="13" fillId="0" borderId="0" xfId="0" applyNumberFormat="1" applyFont="1">
      <alignment vertical="center"/>
    </xf>
    <xf numFmtId="42" fontId="13" fillId="0" borderId="4" xfId="0" applyNumberFormat="1" applyFont="1" applyBorder="1" applyAlignment="1" applyProtection="1">
      <alignment horizontal="left" vertical="center"/>
      <protection locked="0"/>
    </xf>
    <xf numFmtId="41" fontId="13" fillId="0" borderId="5" xfId="0" applyNumberFormat="1" applyFont="1" applyBorder="1">
      <alignment vertical="center"/>
    </xf>
    <xf numFmtId="0" fontId="13" fillId="0" borderId="0" xfId="0" applyFont="1" applyProtection="1">
      <alignment vertical="center"/>
      <protection locked="0"/>
    </xf>
    <xf numFmtId="0" fontId="8" fillId="0" borderId="32" xfId="0" applyFont="1" applyBorder="1" applyAlignment="1">
      <alignment horizontal="center" vertical="center"/>
    </xf>
    <xf numFmtId="0" fontId="8" fillId="0" borderId="33" xfId="0" quotePrefix="1" applyFont="1" applyBorder="1" applyAlignment="1">
      <alignment horizontal="center" vertical="center"/>
    </xf>
    <xf numFmtId="0" fontId="8" fillId="0" borderId="34" xfId="0" quotePrefix="1" applyFont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0" fontId="8" fillId="0" borderId="20" xfId="0" quotePrefix="1" applyFont="1" applyBorder="1" applyAlignment="1">
      <alignment horizontal="center" vertical="center"/>
    </xf>
    <xf numFmtId="41" fontId="8" fillId="0" borderId="30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center" vertical="center"/>
    </xf>
    <xf numFmtId="41" fontId="8" fillId="0" borderId="36" xfId="0" applyNumberFormat="1" applyFont="1" applyBorder="1" applyAlignment="1">
      <alignment horizontal="center" vertical="center"/>
    </xf>
    <xf numFmtId="41" fontId="8" fillId="0" borderId="3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41" fontId="8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/>
    <xf numFmtId="0" fontId="5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1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center" vertical="center"/>
      <protection locked="0"/>
    </xf>
    <xf numFmtId="41" fontId="13" fillId="0" borderId="4" xfId="0" quotePrefix="1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center" vertical="center"/>
    </xf>
    <xf numFmtId="41" fontId="14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/>
      <protection locked="0"/>
    </xf>
    <xf numFmtId="41" fontId="14" fillId="0" borderId="4" xfId="0" applyNumberFormat="1" applyFont="1" applyBorder="1" applyAlignment="1">
      <alignment horizontal="left" vertical="center" shrinkToFit="1"/>
    </xf>
    <xf numFmtId="41" fontId="13" fillId="0" borderId="5" xfId="0" applyNumberFormat="1" applyFont="1" applyBorder="1" applyAlignment="1">
      <alignment horizontal="center" vertical="center"/>
    </xf>
    <xf numFmtId="42" fontId="13" fillId="0" borderId="4" xfId="0" applyNumberFormat="1" applyFont="1" applyBorder="1" applyAlignment="1">
      <alignment vertical="center" shrinkToFit="1"/>
    </xf>
    <xf numFmtId="0" fontId="5" fillId="2" borderId="16" xfId="0" applyFont="1" applyFill="1" applyBorder="1" applyAlignment="1">
      <alignment horizontal="center" vertical="center"/>
    </xf>
    <xf numFmtId="41" fontId="5" fillId="2" borderId="17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1" fontId="14" fillId="0" borderId="0" xfId="0" applyNumberFormat="1" applyFont="1">
      <alignment vertical="center"/>
    </xf>
    <xf numFmtId="42" fontId="13" fillId="0" borderId="5" xfId="0" applyNumberFormat="1" applyFont="1" applyBorder="1">
      <alignment vertical="center"/>
    </xf>
    <xf numFmtId="0" fontId="13" fillId="0" borderId="0" xfId="3" applyFont="1" applyAlignment="1">
      <alignment vertical="center"/>
    </xf>
    <xf numFmtId="41" fontId="14" fillId="0" borderId="4" xfId="0" quotePrefix="1" applyNumberFormat="1" applyFont="1" applyBorder="1" applyProtection="1">
      <alignment vertical="center"/>
      <protection locked="0"/>
    </xf>
    <xf numFmtId="41" fontId="14" fillId="0" borderId="4" xfId="0" applyNumberFormat="1" applyFont="1" applyBorder="1" applyAlignment="1" applyProtection="1">
      <alignment horizontal="left" vertical="center" shrinkToFit="1"/>
      <protection locked="0"/>
    </xf>
    <xf numFmtId="41" fontId="13" fillId="0" borderId="0" xfId="0" applyNumberFormat="1" applyFont="1" applyAlignment="1" applyProtection="1">
      <alignment horizontal="left" vertical="center"/>
      <protection locked="0"/>
    </xf>
    <xf numFmtId="42" fontId="13" fillId="0" borderId="4" xfId="0" applyNumberFormat="1" applyFont="1" applyBorder="1" applyProtection="1">
      <alignment vertical="center"/>
      <protection locked="0"/>
    </xf>
    <xf numFmtId="0" fontId="2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41" fontId="13" fillId="0" borderId="4" xfId="0" applyNumberFormat="1" applyFont="1" applyBorder="1" applyAlignment="1" applyProtection="1">
      <alignment horizontal="left" vertical="center"/>
      <protection locked="0"/>
    </xf>
    <xf numFmtId="41" fontId="14" fillId="0" borderId="4" xfId="0" applyNumberFormat="1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>
      <alignment horizontal="center" vertical="center"/>
    </xf>
    <xf numFmtId="41" fontId="13" fillId="0" borderId="27" xfId="0" applyNumberFormat="1" applyFont="1" applyBorder="1" applyProtection="1">
      <alignment vertical="center"/>
      <protection locked="0"/>
    </xf>
    <xf numFmtId="41" fontId="12" fillId="0" borderId="27" xfId="0" applyNumberFormat="1" applyFont="1" applyBorder="1" applyAlignment="1" applyProtection="1">
      <alignment horizontal="left" vertical="center"/>
      <protection locked="0"/>
    </xf>
    <xf numFmtId="41" fontId="12" fillId="0" borderId="27" xfId="0" applyNumberFormat="1" applyFont="1" applyBorder="1" applyAlignment="1" applyProtection="1">
      <alignment horizontal="left" vertical="center" wrapText="1"/>
      <protection locked="0"/>
    </xf>
    <xf numFmtId="41" fontId="13" fillId="0" borderId="27" xfId="0" applyNumberFormat="1" applyFont="1" applyBorder="1" applyAlignment="1" applyProtection="1">
      <alignment horizontal="center" vertical="center" shrinkToFit="1"/>
      <protection locked="0"/>
    </xf>
    <xf numFmtId="0" fontId="13" fillId="0" borderId="27" xfId="0" quotePrefix="1" applyFont="1" applyBorder="1" applyAlignment="1" applyProtection="1">
      <alignment horizontal="center" vertical="center" shrinkToFit="1"/>
      <protection locked="0"/>
    </xf>
    <xf numFmtId="41" fontId="13" fillId="0" borderId="0" xfId="5" applyFont="1" applyAlignment="1">
      <alignment horizontal="left" vertical="center"/>
    </xf>
    <xf numFmtId="41" fontId="13" fillId="0" borderId="0" xfId="0" applyNumberFormat="1" applyFont="1" applyAlignment="1">
      <alignment vertical="center" wrapText="1"/>
    </xf>
    <xf numFmtId="41" fontId="13" fillId="0" borderId="0" xfId="3" applyNumberFormat="1" applyFont="1" applyAlignment="1">
      <alignment horizontal="left" vertical="center" wrapText="1"/>
    </xf>
    <xf numFmtId="41" fontId="13" fillId="0" borderId="0" xfId="0" applyNumberFormat="1" applyFont="1" applyProtection="1">
      <alignment vertical="center"/>
      <protection locked="0"/>
    </xf>
    <xf numFmtId="41" fontId="13" fillId="0" borderId="0" xfId="0" applyNumberFormat="1" applyFont="1" applyAlignment="1">
      <alignment vertical="center" shrinkToFit="1"/>
    </xf>
    <xf numFmtId="41" fontId="14" fillId="0" borderId="5" xfId="0" applyNumberFormat="1" applyFont="1" applyBorder="1" applyAlignment="1">
      <alignment vertical="center" shrinkToFit="1"/>
    </xf>
    <xf numFmtId="41" fontId="14" fillId="0" borderId="5" xfId="0" applyNumberFormat="1" applyFont="1" applyBorder="1" applyAlignment="1" applyProtection="1">
      <alignment horizontal="right" vertical="center"/>
      <protection locked="0"/>
    </xf>
    <xf numFmtId="41" fontId="23" fillId="0" borderId="0" xfId="0" applyNumberFormat="1" applyFont="1" applyAlignment="1"/>
    <xf numFmtId="0" fontId="15" fillId="0" borderId="0" xfId="0" applyFont="1" applyAlignment="1" applyProtection="1">
      <alignment horizontal="left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3" fillId="0" borderId="4" xfId="0" applyNumberFormat="1" applyFont="1" applyBorder="1" applyAlignment="1" applyProtection="1">
      <alignment horizontal="left" vertical="center" shrinkToFit="1"/>
      <protection locked="0"/>
    </xf>
    <xf numFmtId="0" fontId="8" fillId="0" borderId="41" xfId="0" quotePrefix="1" applyFont="1" applyBorder="1" applyAlignment="1">
      <alignment horizontal="center" vertical="center"/>
    </xf>
    <xf numFmtId="0" fontId="13" fillId="0" borderId="41" xfId="0" quotePrefix="1" applyFont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41" fontId="17" fillId="3" borderId="4" xfId="0" applyNumberFormat="1" applyFont="1" applyFill="1" applyBorder="1">
      <alignment vertical="center"/>
    </xf>
    <xf numFmtId="41" fontId="12" fillId="0" borderId="4" xfId="0" applyNumberFormat="1" applyFont="1" applyBorder="1" applyAlignment="1">
      <alignment vertical="center" shrinkToFit="1"/>
    </xf>
    <xf numFmtId="41" fontId="12" fillId="0" borderId="4" xfId="0" applyNumberFormat="1" applyFont="1" applyBorder="1" applyAlignment="1">
      <alignment horizontal="center" vertical="center"/>
    </xf>
    <xf numFmtId="41" fontId="12" fillId="0" borderId="4" xfId="0" applyNumberFormat="1" applyFont="1" applyBorder="1">
      <alignment vertical="center"/>
    </xf>
    <xf numFmtId="41" fontId="18" fillId="0" borderId="11" xfId="0" applyNumberFormat="1" applyFont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41" fontId="5" fillId="0" borderId="27" xfId="0" applyNumberFormat="1" applyFont="1" applyBorder="1" applyAlignment="1">
      <alignment horizontal="left" vertical="center"/>
    </xf>
    <xf numFmtId="41" fontId="8" fillId="0" borderId="4" xfId="0" applyNumberFormat="1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177" fontId="12" fillId="0" borderId="27" xfId="0" applyNumberFormat="1" applyFont="1" applyBorder="1">
      <alignment vertical="center"/>
    </xf>
    <xf numFmtId="41" fontId="12" fillId="0" borderId="27" xfId="0" applyNumberFormat="1" applyFont="1" applyBorder="1" applyAlignment="1">
      <alignment horizontal="left" vertical="center"/>
    </xf>
    <xf numFmtId="0" fontId="12" fillId="0" borderId="27" xfId="0" applyFont="1" applyBorder="1" applyAlignment="1">
      <alignment horizontal="center" vertical="center"/>
    </xf>
    <xf numFmtId="41" fontId="12" fillId="0" borderId="27" xfId="0" applyNumberFormat="1" applyFont="1" applyBorder="1" applyAlignment="1">
      <alignment horizontal="center" vertical="center"/>
    </xf>
    <xf numFmtId="41" fontId="13" fillId="0" borderId="27" xfId="0" applyNumberFormat="1" applyFont="1" applyBorder="1">
      <alignment vertical="center"/>
    </xf>
    <xf numFmtId="41" fontId="12" fillId="0" borderId="27" xfId="0" applyNumberFormat="1" applyFont="1" applyBorder="1">
      <alignment vertical="center"/>
    </xf>
    <xf numFmtId="41" fontId="13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0" fontId="28" fillId="0" borderId="0" xfId="0" applyFont="1">
      <alignment vertical="center"/>
    </xf>
    <xf numFmtId="41" fontId="13" fillId="0" borderId="4" xfId="0" applyNumberFormat="1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41" fontId="13" fillId="0" borderId="4" xfId="0" applyNumberFormat="1" applyFont="1" applyBorder="1" applyAlignment="1">
      <alignment horizontal="left" vertical="center"/>
    </xf>
    <xf numFmtId="177" fontId="13" fillId="0" borderId="4" xfId="0" applyNumberFormat="1" applyFont="1" applyBorder="1">
      <alignment vertical="center"/>
    </xf>
    <xf numFmtId="177" fontId="14" fillId="0" borderId="4" xfId="0" applyNumberFormat="1" applyFont="1" applyBorder="1" applyAlignment="1">
      <alignment horizontal="left" vertical="center"/>
    </xf>
    <xf numFmtId="0" fontId="7" fillId="0" borderId="0" xfId="0" quotePrefix="1" applyFont="1">
      <alignment vertical="center"/>
    </xf>
    <xf numFmtId="178" fontId="13" fillId="0" borderId="4" xfId="0" applyNumberFormat="1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41" fontId="14" fillId="0" borderId="28" xfId="0" applyNumberFormat="1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 applyProtection="1">
      <alignment horizontal="center" vertical="center" shrinkToFit="1"/>
      <protection locked="0"/>
    </xf>
    <xf numFmtId="41" fontId="14" fillId="0" borderId="11" xfId="1" applyFont="1" applyBorder="1" applyAlignment="1" applyProtection="1">
      <alignment horizontal="center" vertical="center" shrinkToFit="1"/>
      <protection locked="0"/>
    </xf>
    <xf numFmtId="41" fontId="14" fillId="0" borderId="11" xfId="0" applyNumberFormat="1" applyFont="1" applyBorder="1" applyAlignment="1">
      <alignment horizontal="center" vertical="center"/>
    </xf>
    <xf numFmtId="41" fontId="14" fillId="0" borderId="11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38" xfId="0" applyNumberFormat="1" applyFont="1" applyBorder="1" applyAlignment="1" applyProtection="1">
      <alignment horizontal="center" vertical="center" wrapText="1"/>
      <protection locked="0" hidden="1"/>
    </xf>
    <xf numFmtId="41" fontId="14" fillId="0" borderId="28" xfId="0" applyNumberFormat="1" applyFont="1" applyBorder="1" applyAlignment="1">
      <alignment horizontal="center" vertical="center" wrapText="1"/>
    </xf>
    <xf numFmtId="41" fontId="14" fillId="0" borderId="11" xfId="0" applyNumberFormat="1" applyFont="1" applyBorder="1" applyAlignment="1">
      <alignment horizontal="center" vertical="center" wrapText="1"/>
    </xf>
    <xf numFmtId="41" fontId="29" fillId="0" borderId="11" xfId="0" applyNumberFormat="1" applyFont="1" applyBorder="1" applyAlignment="1">
      <alignment horizontal="center" vertical="center"/>
    </xf>
    <xf numFmtId="41" fontId="29" fillId="0" borderId="38" xfId="0" applyNumberFormat="1" applyFont="1" applyBorder="1" applyAlignment="1">
      <alignment horizontal="center" vertical="center"/>
    </xf>
    <xf numFmtId="41" fontId="17" fillId="0" borderId="27" xfId="0" applyNumberFormat="1" applyFont="1" applyBorder="1" applyAlignment="1" applyProtection="1">
      <alignment horizontal="left" vertical="center" wrapText="1"/>
      <protection locked="0"/>
    </xf>
    <xf numFmtId="41" fontId="17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Alignment="1">
      <alignment vertical="center" shrinkToFit="1"/>
    </xf>
    <xf numFmtId="42" fontId="15" fillId="0" borderId="4" xfId="0" applyNumberFormat="1" applyFont="1" applyBorder="1" applyProtection="1">
      <alignment vertical="center"/>
      <protection locked="0"/>
    </xf>
    <xf numFmtId="41" fontId="15" fillId="0" borderId="4" xfId="0" applyNumberFormat="1" applyFont="1" applyBorder="1" applyAlignment="1" applyProtection="1">
      <alignment horizontal="left" vertical="center"/>
      <protection locked="0"/>
    </xf>
    <xf numFmtId="41" fontId="15" fillId="0" borderId="4" xfId="0" applyNumberFormat="1" applyFont="1" applyBorder="1" applyAlignment="1">
      <alignment horizontal="left" vertical="center" shrinkToFit="1"/>
    </xf>
    <xf numFmtId="41" fontId="15" fillId="0" borderId="4" xfId="0" applyNumberFormat="1" applyFont="1" applyBorder="1" applyAlignment="1" applyProtection="1">
      <alignment horizontal="left" vertical="center" shrinkToFit="1"/>
      <protection locked="0"/>
    </xf>
    <xf numFmtId="41" fontId="15" fillId="0" borderId="5" xfId="0" applyNumberFormat="1" applyFont="1" applyBorder="1" applyAlignment="1">
      <alignment vertical="center" shrinkToFit="1"/>
    </xf>
    <xf numFmtId="41" fontId="17" fillId="0" borderId="27" xfId="0" applyNumberFormat="1" applyFont="1" applyBorder="1" applyAlignment="1">
      <alignment horizontal="left" vertical="center"/>
    </xf>
    <xf numFmtId="41" fontId="15" fillId="0" borderId="4" xfId="0" applyNumberFormat="1" applyFont="1" applyBorder="1" applyAlignment="1">
      <alignment horizontal="left" vertical="center" wrapText="1"/>
    </xf>
    <xf numFmtId="177" fontId="15" fillId="0" borderId="4" xfId="0" applyNumberFormat="1" applyFont="1" applyBorder="1" applyAlignment="1">
      <alignment horizontal="left" vertical="center"/>
    </xf>
    <xf numFmtId="41" fontId="15" fillId="0" borderId="0" xfId="0" applyNumberFormat="1" applyFont="1">
      <alignment vertical="center"/>
    </xf>
    <xf numFmtId="0" fontId="6" fillId="4" borderId="0" xfId="0" applyFont="1" applyFill="1">
      <alignment vertical="center"/>
    </xf>
    <xf numFmtId="41" fontId="23" fillId="0" borderId="0" xfId="0" applyNumberFormat="1" applyFont="1" applyAlignment="1">
      <alignment horizontal="left"/>
    </xf>
    <xf numFmtId="9" fontId="28" fillId="0" borderId="10" xfId="8" applyNumberFormat="1" applyFont="1" applyBorder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/>
    </xf>
    <xf numFmtId="179" fontId="13" fillId="0" borderId="10" xfId="8" applyNumberFormat="1" applyFont="1" applyBorder="1" applyAlignment="1">
      <alignment horizontal="center" vertical="center"/>
    </xf>
    <xf numFmtId="43" fontId="13" fillId="0" borderId="10" xfId="8" applyNumberFormat="1" applyFont="1" applyBorder="1" applyAlignment="1">
      <alignment horizontal="center" vertical="center"/>
    </xf>
    <xf numFmtId="41" fontId="14" fillId="0" borderId="42" xfId="0" applyNumberFormat="1" applyFont="1" applyBorder="1" applyAlignment="1" applyProtection="1">
      <alignment horizontal="left" vertical="center"/>
      <protection locked="0"/>
    </xf>
    <xf numFmtId="0" fontId="14" fillId="0" borderId="10" xfId="0" applyFont="1" applyBorder="1" applyProtection="1">
      <alignment vertical="center"/>
      <protection locked="0"/>
    </xf>
    <xf numFmtId="0" fontId="13" fillId="0" borderId="10" xfId="0" applyFont="1" applyBorder="1" applyProtection="1">
      <alignment vertical="center"/>
      <protection locked="0"/>
    </xf>
    <xf numFmtId="41" fontId="14" fillId="0" borderId="42" xfId="0" applyNumberFormat="1" applyFont="1" applyBorder="1" applyAlignment="1">
      <alignment horizontal="left"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41" fontId="14" fillId="0" borderId="42" xfId="8" applyNumberFormat="1" applyFont="1" applyBorder="1" applyAlignment="1">
      <alignment horizontal="left" vertical="center"/>
    </xf>
    <xf numFmtId="41" fontId="14" fillId="0" borderId="10" xfId="8" applyNumberFormat="1" applyFont="1" applyBorder="1" applyAlignment="1">
      <alignment horizontal="center" vertical="center"/>
    </xf>
    <xf numFmtId="49" fontId="14" fillId="0" borderId="10" xfId="8" applyNumberFormat="1" applyFont="1" applyBorder="1" applyAlignment="1">
      <alignment horizontal="left" vertical="center"/>
    </xf>
    <xf numFmtId="49" fontId="13" fillId="0" borderId="0" xfId="8" applyNumberFormat="1" applyFont="1" applyAlignment="1">
      <alignment horizontal="left" vertical="center" wrapText="1"/>
    </xf>
    <xf numFmtId="9" fontId="28" fillId="0" borderId="10" xfId="8" applyNumberFormat="1" applyFont="1" applyBorder="1" applyAlignment="1">
      <alignment vertical="center"/>
    </xf>
    <xf numFmtId="179" fontId="13" fillId="0" borderId="10" xfId="8" applyNumberFormat="1" applyFont="1" applyBorder="1" applyAlignment="1">
      <alignment vertical="center"/>
    </xf>
    <xf numFmtId="41" fontId="13" fillId="0" borderId="10" xfId="8" applyNumberFormat="1" applyFont="1" applyBorder="1" applyAlignment="1">
      <alignment vertical="center" shrinkToFit="1"/>
    </xf>
    <xf numFmtId="179" fontId="13" fillId="0" borderId="10" xfId="8" applyNumberFormat="1" applyFont="1" applyBorder="1" applyAlignment="1">
      <alignment vertical="center" shrinkToFit="1"/>
    </xf>
    <xf numFmtId="0" fontId="13" fillId="0" borderId="10" xfId="8" applyFont="1" applyBorder="1" applyAlignment="1">
      <alignment vertical="center"/>
    </xf>
    <xf numFmtId="0" fontId="13" fillId="0" borderId="0" xfId="8" applyFont="1" applyAlignment="1">
      <alignment vertical="center"/>
    </xf>
    <xf numFmtId="41" fontId="13" fillId="0" borderId="42" xfId="0" applyNumberFormat="1" applyFont="1" applyBorder="1" applyAlignment="1">
      <alignment horizontal="left" vertical="center"/>
    </xf>
    <xf numFmtId="41" fontId="13" fillId="0" borderId="42" xfId="0" applyNumberFormat="1" applyFont="1" applyBorder="1" applyAlignment="1">
      <alignment horizontal="left" vertical="center" wrapText="1"/>
    </xf>
    <xf numFmtId="41" fontId="13" fillId="0" borderId="42" xfId="5" applyFont="1" applyBorder="1" applyAlignment="1">
      <alignment horizontal="left" vertical="center"/>
    </xf>
    <xf numFmtId="41" fontId="13" fillId="0" borderId="42" xfId="0" applyNumberFormat="1" applyFont="1" applyBorder="1" applyAlignment="1" applyProtection="1">
      <alignment horizontal="left" vertical="center"/>
      <protection locked="0"/>
    </xf>
    <xf numFmtId="41" fontId="13" fillId="0" borderId="42" xfId="0" applyNumberFormat="1" applyFont="1" applyBorder="1" applyAlignment="1">
      <alignment horizontal="left" vertical="center" shrinkToFit="1"/>
    </xf>
    <xf numFmtId="41" fontId="21" fillId="2" borderId="10" xfId="0" applyNumberFormat="1" applyFont="1" applyFill="1" applyBorder="1" applyAlignment="1" applyProtection="1">
      <alignment horizontal="center" vertical="center"/>
      <protection locked="0"/>
    </xf>
    <xf numFmtId="41" fontId="28" fillId="0" borderId="4" xfId="8" applyNumberFormat="1" applyFont="1" applyBorder="1" applyAlignment="1">
      <alignment vertical="center"/>
    </xf>
    <xf numFmtId="41" fontId="28" fillId="0" borderId="27" xfId="0" applyNumberFormat="1" applyFont="1" applyBorder="1" applyAlignment="1" applyProtection="1">
      <alignment horizontal="center" vertical="center"/>
      <protection locked="0"/>
    </xf>
    <xf numFmtId="41" fontId="28" fillId="0" borderId="27" xfId="0" applyNumberFormat="1" applyFont="1" applyBorder="1" applyProtection="1">
      <alignment vertical="center"/>
      <protection locked="0"/>
    </xf>
    <xf numFmtId="41" fontId="28" fillId="0" borderId="4" xfId="0" applyNumberFormat="1" applyFont="1" applyBorder="1" applyAlignment="1">
      <alignment horizontal="center" vertical="center"/>
    </xf>
    <xf numFmtId="41" fontId="21" fillId="0" borderId="4" xfId="0" applyNumberFormat="1" applyFont="1" applyBorder="1">
      <alignment vertical="center"/>
    </xf>
    <xf numFmtId="41" fontId="28" fillId="0" borderId="4" xfId="0" applyNumberFormat="1" applyFont="1" applyBorder="1">
      <alignment vertical="center"/>
    </xf>
    <xf numFmtId="41" fontId="28" fillId="0" borderId="4" xfId="0" applyNumberFormat="1" applyFont="1" applyBorder="1" applyAlignment="1" applyProtection="1">
      <alignment horizontal="center" vertical="center"/>
      <protection locked="0"/>
    </xf>
    <xf numFmtId="41" fontId="28" fillId="0" borderId="5" xfId="0" applyNumberFormat="1" applyFont="1" applyBorder="1" applyAlignment="1" applyProtection="1">
      <alignment horizontal="right" vertical="center"/>
      <protection locked="0"/>
    </xf>
    <xf numFmtId="41" fontId="28" fillId="0" borderId="27" xfId="0" applyNumberFormat="1" applyFont="1" applyBorder="1">
      <alignment vertical="center"/>
    </xf>
    <xf numFmtId="41" fontId="21" fillId="0" borderId="27" xfId="0" applyNumberFormat="1" applyFont="1" applyBorder="1">
      <alignment vertical="center"/>
    </xf>
    <xf numFmtId="41" fontId="28" fillId="0" borderId="0" xfId="0" applyNumberFormat="1" applyFont="1">
      <alignment vertical="center"/>
    </xf>
    <xf numFmtId="9" fontId="28" fillId="0" borderId="4" xfId="9" applyFont="1" applyBorder="1" applyAlignment="1">
      <alignment horizontal="center" vertical="center"/>
    </xf>
    <xf numFmtId="9" fontId="28" fillId="0" borderId="5" xfId="9" applyFont="1" applyBorder="1" applyAlignment="1">
      <alignment horizontal="center" vertical="center"/>
    </xf>
    <xf numFmtId="41" fontId="28" fillId="0" borderId="5" xfId="8" applyNumberFormat="1" applyFont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41" fontId="5" fillId="5" borderId="10" xfId="0" applyNumberFormat="1" applyFont="1" applyFill="1" applyBorder="1">
      <alignment vertical="center"/>
    </xf>
    <xf numFmtId="0" fontId="5" fillId="5" borderId="15" xfId="0" applyFont="1" applyFill="1" applyBorder="1" applyAlignment="1">
      <alignment horizontal="center" vertical="center"/>
    </xf>
    <xf numFmtId="41" fontId="12" fillId="5" borderId="24" xfId="0" applyNumberFormat="1" applyFont="1" applyFill="1" applyBorder="1" applyAlignment="1" applyProtection="1">
      <alignment horizontal="center" vertical="center"/>
      <protection locked="0"/>
    </xf>
    <xf numFmtId="41" fontId="17" fillId="5" borderId="24" xfId="0" applyNumberFormat="1" applyFont="1" applyFill="1" applyBorder="1" applyAlignment="1" applyProtection="1">
      <alignment horizontal="center" vertical="center"/>
      <protection locked="0"/>
    </xf>
    <xf numFmtId="0" fontId="12" fillId="5" borderId="24" xfId="0" applyFont="1" applyFill="1" applyBorder="1" applyAlignment="1" applyProtection="1">
      <alignment horizontal="center" vertical="center" shrinkToFit="1"/>
      <protection locked="0"/>
    </xf>
    <xf numFmtId="41" fontId="21" fillId="5" borderId="24" xfId="0" applyNumberFormat="1" applyFont="1" applyFill="1" applyBorder="1" applyAlignment="1" applyProtection="1">
      <alignment horizontal="center" vertical="center"/>
      <protection locked="0"/>
    </xf>
    <xf numFmtId="41" fontId="12" fillId="5" borderId="24" xfId="0" applyNumberFormat="1" applyFont="1" applyFill="1" applyBorder="1" applyAlignment="1">
      <alignment horizontal="center" vertical="center"/>
    </xf>
    <xf numFmtId="41" fontId="21" fillId="5" borderId="24" xfId="0" applyNumberFormat="1" applyFont="1" applyFill="1" applyBorder="1" applyAlignment="1">
      <alignment horizontal="center" vertical="center"/>
    </xf>
    <xf numFmtId="41" fontId="14" fillId="5" borderId="25" xfId="0" applyNumberFormat="1" applyFont="1" applyFill="1" applyBorder="1" applyAlignment="1" applyProtection="1">
      <alignment horizontal="center" vertical="center" shrinkToFit="1"/>
      <protection locked="0"/>
    </xf>
    <xf numFmtId="0" fontId="18" fillId="6" borderId="14" xfId="3" applyFont="1" applyFill="1" applyBorder="1" applyAlignment="1">
      <alignment horizontal="center" vertical="center"/>
    </xf>
    <xf numFmtId="0" fontId="17" fillId="6" borderId="14" xfId="3" applyFont="1" applyFill="1" applyBorder="1" applyAlignment="1">
      <alignment horizontal="center" vertical="center"/>
    </xf>
    <xf numFmtId="41" fontId="18" fillId="6" borderId="14" xfId="3" applyNumberFormat="1" applyFont="1" applyFill="1" applyBorder="1" applyAlignment="1">
      <alignment horizontal="center" vertical="center"/>
    </xf>
    <xf numFmtId="41" fontId="21" fillId="6" borderId="14" xfId="3" applyNumberFormat="1" applyFont="1" applyFill="1" applyBorder="1" applyAlignment="1">
      <alignment vertical="center"/>
    </xf>
    <xf numFmtId="41" fontId="18" fillId="6" borderId="14" xfId="3" applyNumberFormat="1" applyFont="1" applyFill="1" applyBorder="1" applyAlignment="1">
      <alignment vertical="center"/>
    </xf>
    <xf numFmtId="9" fontId="21" fillId="6" borderId="14" xfId="3" applyNumberFormat="1" applyFont="1" applyFill="1" applyBorder="1" applyAlignment="1">
      <alignment vertical="center"/>
    </xf>
    <xf numFmtId="41" fontId="18" fillId="6" borderId="39" xfId="3" applyNumberFormat="1" applyFont="1" applyFill="1" applyBorder="1" applyAlignment="1">
      <alignment horizontal="center" vertical="center"/>
    </xf>
    <xf numFmtId="177" fontId="17" fillId="6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41" fontId="28" fillId="6" borderId="10" xfId="0" applyNumberFormat="1" applyFont="1" applyFill="1" applyBorder="1">
      <alignment vertical="center"/>
    </xf>
    <xf numFmtId="41" fontId="21" fillId="6" borderId="10" xfId="0" applyNumberFormat="1" applyFont="1" applyFill="1" applyBorder="1">
      <alignment vertical="center"/>
    </xf>
    <xf numFmtId="41" fontId="13" fillId="6" borderId="10" xfId="0" applyNumberFormat="1" applyFont="1" applyFill="1" applyBorder="1">
      <alignment vertical="center"/>
    </xf>
    <xf numFmtId="41" fontId="12" fillId="6" borderId="10" xfId="0" applyNumberFormat="1" applyFont="1" applyFill="1" applyBorder="1">
      <alignment vertical="center"/>
    </xf>
    <xf numFmtId="41" fontId="14" fillId="6" borderId="15" xfId="0" applyNumberFormat="1" applyFont="1" applyFill="1" applyBorder="1" applyAlignment="1">
      <alignment horizontal="center" vertical="center" wrapText="1"/>
    </xf>
    <xf numFmtId="41" fontId="12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7" xfId="0" quotePrefix="1" applyFont="1" applyBorder="1" applyAlignment="1">
      <alignment horizontal="left" vertical="center"/>
    </xf>
    <xf numFmtId="0" fontId="25" fillId="0" borderId="9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177" fontId="12" fillId="6" borderId="20" xfId="0" applyNumberFormat="1" applyFont="1" applyFill="1" applyBorder="1" applyAlignment="1">
      <alignment horizontal="center" vertical="center"/>
    </xf>
    <xf numFmtId="177" fontId="12" fillId="6" borderId="10" xfId="0" applyNumberFormat="1" applyFont="1" applyFill="1" applyBorder="1" applyAlignment="1">
      <alignment horizontal="center" vertical="center"/>
    </xf>
    <xf numFmtId="41" fontId="12" fillId="5" borderId="23" xfId="0" applyNumberFormat="1" applyFont="1" applyFill="1" applyBorder="1" applyAlignment="1" applyProtection="1">
      <alignment horizontal="center" vertical="center"/>
      <protection locked="0"/>
    </xf>
    <xf numFmtId="41" fontId="12" fillId="5" borderId="24" xfId="0" applyNumberFormat="1" applyFont="1" applyFill="1" applyBorder="1" applyAlignment="1" applyProtection="1">
      <alignment horizontal="center" vertical="center"/>
      <protection locked="0"/>
    </xf>
    <xf numFmtId="0" fontId="18" fillId="6" borderId="20" xfId="3" applyFont="1" applyFill="1" applyBorder="1" applyAlignment="1">
      <alignment horizontal="center" vertical="center"/>
    </xf>
    <xf numFmtId="0" fontId="18" fillId="6" borderId="14" xfId="3" applyFont="1" applyFill="1" applyBorder="1" applyAlignment="1">
      <alignment horizontal="center" vertical="center"/>
    </xf>
    <xf numFmtId="0" fontId="22" fillId="0" borderId="19" xfId="3" applyFont="1" applyBorder="1" applyAlignment="1">
      <alignment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/>
      <protection locked="0"/>
    </xf>
    <xf numFmtId="41" fontId="12" fillId="2" borderId="10" xfId="0" applyNumberFormat="1" applyFont="1" applyFill="1" applyBorder="1" applyAlignment="1" applyProtection="1">
      <alignment horizontal="center" vertical="center"/>
      <protection locked="0"/>
    </xf>
    <xf numFmtId="41" fontId="12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2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7" xfId="0" applyFont="1" applyFill="1" applyBorder="1" applyAlignment="1" applyProtection="1">
      <alignment horizontal="center" vertical="center" shrinkToFit="1"/>
      <protection locked="0"/>
    </xf>
    <xf numFmtId="0" fontId="12" fillId="2" borderId="10" xfId="0" applyFont="1" applyFill="1" applyBorder="1" applyAlignment="1" applyProtection="1">
      <alignment horizontal="center" vertical="center" shrinkToFit="1"/>
      <protection locked="0"/>
    </xf>
    <xf numFmtId="0" fontId="18" fillId="2" borderId="17" xfId="0" applyFont="1" applyFill="1" applyBorder="1" applyAlignment="1" applyProtection="1">
      <alignment horizontal="center" vertical="center" shrinkToFit="1"/>
      <protection locked="0"/>
    </xf>
    <xf numFmtId="0" fontId="18" fillId="2" borderId="10" xfId="0" applyFont="1" applyFill="1" applyBorder="1" applyAlignment="1" applyProtection="1">
      <alignment horizontal="center" vertical="center" shrinkToFit="1"/>
      <protection locked="0"/>
    </xf>
    <xf numFmtId="41" fontId="18" fillId="2" borderId="17" xfId="0" applyNumberFormat="1" applyFont="1" applyFill="1" applyBorder="1" applyAlignment="1" applyProtection="1">
      <alignment horizontal="center" vertical="center"/>
      <protection locked="0"/>
    </xf>
    <xf numFmtId="41" fontId="18" fillId="2" borderId="10" xfId="0" applyNumberFormat="1" applyFont="1" applyFill="1" applyBorder="1" applyAlignment="1" applyProtection="1">
      <alignment horizontal="center" vertical="center"/>
      <protection locked="0"/>
    </xf>
    <xf numFmtId="41" fontId="18" fillId="2" borderId="40" xfId="0" applyNumberFormat="1" applyFont="1" applyFill="1" applyBorder="1" applyAlignment="1" applyProtection="1">
      <alignment horizontal="center" vertical="center" shrinkToFit="1"/>
      <protection locked="0"/>
    </xf>
    <xf numFmtId="41" fontId="18" fillId="2" borderId="39" xfId="0" applyNumberFormat="1" applyFont="1" applyFill="1" applyBorder="1" applyAlignment="1" applyProtection="1">
      <alignment horizontal="center" vertical="center" shrinkToFit="1"/>
      <protection locked="0"/>
    </xf>
    <xf numFmtId="41" fontId="17" fillId="2" borderId="17" xfId="0" applyNumberFormat="1" applyFont="1" applyFill="1" applyBorder="1" applyAlignment="1" applyProtection="1">
      <alignment horizontal="center" vertical="center" wrapText="1"/>
      <protection locked="0"/>
    </xf>
    <xf numFmtId="4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41" fontId="21" fillId="2" borderId="17" xfId="0" applyNumberFormat="1" applyFont="1" applyFill="1" applyBorder="1" applyAlignment="1" applyProtection="1">
      <alignment horizontal="center" vertical="center"/>
      <protection locked="0"/>
    </xf>
    <xf numFmtId="41" fontId="21" fillId="2" borderId="17" xfId="0" applyNumberFormat="1" applyFont="1" applyFill="1" applyBorder="1" applyAlignment="1">
      <alignment horizontal="center" vertical="center"/>
    </xf>
    <xf numFmtId="41" fontId="21" fillId="2" borderId="10" xfId="0" applyNumberFormat="1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9" fontId="15" fillId="0" borderId="10" xfId="8" applyNumberFormat="1" applyFont="1" applyBorder="1" applyAlignment="1">
      <alignment horizontal="center" vertical="center" wrapText="1"/>
    </xf>
    <xf numFmtId="9" fontId="15" fillId="0" borderId="10" xfId="8" applyNumberFormat="1" applyFont="1" applyBorder="1" applyAlignment="1">
      <alignment horizontal="center" vertical="center"/>
    </xf>
    <xf numFmtId="41" fontId="13" fillId="0" borderId="10" xfId="8" applyNumberFormat="1" applyFont="1" applyBorder="1" applyAlignment="1">
      <alignment horizontal="center" vertical="center" shrinkToFit="1"/>
    </xf>
    <xf numFmtId="41" fontId="13" fillId="0" borderId="10" xfId="8" applyNumberFormat="1" applyFont="1" applyBorder="1" applyAlignment="1">
      <alignment horizontal="center" vertical="center"/>
    </xf>
    <xf numFmtId="0" fontId="13" fillId="0" borderId="10" xfId="8" applyFont="1" applyBorder="1" applyAlignment="1">
      <alignment horizontal="center" vertical="center" shrinkToFit="1"/>
    </xf>
  </cellXfs>
  <cellStyles count="10">
    <cellStyle name="백분율" xfId="9" builtinId="5"/>
    <cellStyle name="쉼표 [0]" xfId="1" builtinId="6"/>
    <cellStyle name="쉼표 [0] 2" xfId="5" xr:uid="{00000000-0005-0000-0000-000001000000}"/>
    <cellStyle name="쉼표 [0] 2 2" xfId="6" xr:uid="{00000000-0005-0000-0000-000002000000}"/>
    <cellStyle name="쉼표 [0] 3" xfId="7" xr:uid="{00000000-0005-0000-0000-000003000000}"/>
    <cellStyle name="표준" xfId="0" builtinId="0"/>
    <cellStyle name="표준 2" xfId="3" xr:uid="{00000000-0005-0000-0000-000005000000}"/>
    <cellStyle name="표준 2 2" xfId="4" xr:uid="{00000000-0005-0000-0000-000006000000}"/>
    <cellStyle name="표준 2 2 10" xfId="8" xr:uid="{5A8664F2-1B58-41BC-8DFA-1F6C937A494C}"/>
    <cellStyle name="표준 3" xfId="2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5DD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527839</xdr:colOff>
      <xdr:row>1</xdr:row>
      <xdr:rowOff>144411</xdr:rowOff>
    </xdr:from>
    <xdr:to>
      <xdr:col>9</xdr:col>
      <xdr:colOff>15087</xdr:colOff>
      <xdr:row>7</xdr:row>
      <xdr:rowOff>162599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931060-E275-4B63-9E80-2BA96BB3A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12953" y="781225"/>
          <a:ext cx="3596605" cy="1846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view="pageBreakPreview" zoomScaleNormal="100" zoomScaleSheetLayoutView="100" zoomScalePageLayoutView="85" workbookViewId="0"/>
  </sheetViews>
  <sheetFormatPr defaultRowHeight="17.600000000000001"/>
  <cols>
    <col min="1" max="1" width="1.640625" customWidth="1"/>
    <col min="2" max="2" width="7.640625" customWidth="1"/>
    <col min="3" max="4" width="26.640625" customWidth="1"/>
    <col min="5" max="6" width="8.640625" customWidth="1"/>
    <col min="7" max="8" width="16.640625" customWidth="1"/>
    <col min="9" max="9" width="20.640625" customWidth="1"/>
    <col min="10" max="10" width="1.640625" customWidth="1"/>
    <col min="12" max="12" width="12" bestFit="1" customWidth="1"/>
    <col min="13" max="14" width="12.7109375" bestFit="1" customWidth="1"/>
  </cols>
  <sheetData>
    <row r="1" spans="1:15" ht="50.15" customHeight="1">
      <c r="A1" s="1"/>
      <c r="B1" s="227" t="s">
        <v>19</v>
      </c>
      <c r="C1" s="227"/>
      <c r="D1" s="227"/>
      <c r="E1" s="227"/>
      <c r="F1" s="227"/>
      <c r="G1" s="227"/>
      <c r="H1" s="227"/>
      <c r="I1" s="227"/>
      <c r="J1" s="1"/>
    </row>
    <row r="2" spans="1:15" ht="24" customHeight="1">
      <c r="A2" s="1"/>
      <c r="B2" s="41" t="s">
        <v>4</v>
      </c>
      <c r="C2" s="148"/>
      <c r="D2" s="8"/>
      <c r="E2" s="8"/>
      <c r="F2" s="12"/>
      <c r="G2" s="15"/>
      <c r="H2" s="15"/>
      <c r="I2" s="15"/>
      <c r="J2" s="1"/>
    </row>
    <row r="3" spans="1:15" ht="24" customHeight="1">
      <c r="A3" s="1"/>
      <c r="B3" s="45" t="s">
        <v>36</v>
      </c>
      <c r="C3" s="148"/>
      <c r="D3" s="8"/>
      <c r="E3" s="8"/>
      <c r="F3" s="13"/>
      <c r="G3" s="13"/>
      <c r="H3" s="13"/>
      <c r="I3" s="15"/>
      <c r="J3" s="1"/>
    </row>
    <row r="4" spans="1:15" ht="24" customHeight="1">
      <c r="A4" s="1"/>
      <c r="B4" s="41" t="s">
        <v>37</v>
      </c>
      <c r="C4" s="148"/>
      <c r="D4" s="8"/>
      <c r="E4" s="8"/>
      <c r="F4" s="13"/>
      <c r="G4" s="15"/>
      <c r="H4" s="15"/>
      <c r="I4" s="15"/>
      <c r="J4" s="1"/>
    </row>
    <row r="5" spans="1:15" ht="24" customHeight="1">
      <c r="A5" s="1"/>
      <c r="B5" s="104" t="s">
        <v>38</v>
      </c>
      <c r="C5" s="148"/>
      <c r="D5" s="8"/>
      <c r="E5" s="8"/>
      <c r="F5" s="13"/>
      <c r="G5" s="15"/>
      <c r="H5" s="15"/>
      <c r="I5" s="15"/>
      <c r="J5" s="1"/>
    </row>
    <row r="6" spans="1:15" ht="24" customHeight="1">
      <c r="A6" s="1"/>
      <c r="B6" s="45" t="s">
        <v>39</v>
      </c>
      <c r="C6" s="148"/>
      <c r="D6" s="8"/>
      <c r="E6" s="8"/>
      <c r="F6" s="13"/>
      <c r="G6" s="15"/>
      <c r="H6" s="15"/>
      <c r="I6" s="15"/>
      <c r="J6" s="1"/>
    </row>
    <row r="7" spans="1:15" ht="24" customHeight="1">
      <c r="A7" s="1"/>
      <c r="B7" s="45" t="s">
        <v>20</v>
      </c>
      <c r="C7" s="46"/>
      <c r="D7" s="8"/>
      <c r="E7" s="8"/>
      <c r="F7" s="13"/>
      <c r="G7" s="15"/>
      <c r="H7" s="15"/>
      <c r="I7" s="15"/>
      <c r="J7" s="1"/>
    </row>
    <row r="8" spans="1:15" ht="24" customHeight="1" thickBot="1">
      <c r="A8" s="1"/>
      <c r="B8" s="123" t="s">
        <v>49</v>
      </c>
      <c r="C8" s="42" t="str">
        <f>"일금"&amp;NUMBERSTRING(H12,1)&amp;"원정(\"&amp;TEXT(H12,"###,##0")&amp;") V.A.T별도"</f>
        <v>일금삼십사만삼천원정(\343,000) V.A.T별도</v>
      </c>
      <c r="D8" s="6"/>
      <c r="E8" s="10"/>
      <c r="F8" s="8"/>
      <c r="G8" s="16"/>
      <c r="H8" s="16"/>
      <c r="I8" s="17"/>
      <c r="J8" s="1"/>
    </row>
    <row r="9" spans="1:15" ht="24" customHeight="1">
      <c r="A9" s="2"/>
      <c r="B9" s="63" t="s">
        <v>21</v>
      </c>
      <c r="C9" s="64" t="s">
        <v>1</v>
      </c>
      <c r="D9" s="64" t="s">
        <v>18</v>
      </c>
      <c r="E9" s="65" t="s">
        <v>2</v>
      </c>
      <c r="F9" s="65" t="s">
        <v>5</v>
      </c>
      <c r="G9" s="65" t="s">
        <v>3</v>
      </c>
      <c r="H9" s="65" t="s">
        <v>15</v>
      </c>
      <c r="I9" s="66" t="s">
        <v>8</v>
      </c>
      <c r="J9" s="2"/>
    </row>
    <row r="10" spans="1:15" ht="24" customHeight="1">
      <c r="A10" s="2"/>
      <c r="B10" s="47" t="s">
        <v>6</v>
      </c>
      <c r="C10" s="105" t="s">
        <v>53</v>
      </c>
      <c r="D10" s="48"/>
      <c r="E10" s="48"/>
      <c r="F10" s="48"/>
      <c r="G10" s="49"/>
      <c r="H10" s="49"/>
      <c r="I10" s="50"/>
      <c r="J10" s="2"/>
    </row>
    <row r="11" spans="1:15" ht="24" customHeight="1">
      <c r="A11" s="2"/>
      <c r="B11" s="96">
        <v>1</v>
      </c>
      <c r="C11" s="106" t="s">
        <v>54</v>
      </c>
      <c r="D11" s="43" t="s">
        <v>55</v>
      </c>
      <c r="E11" s="43" t="s">
        <v>13</v>
      </c>
      <c r="F11" s="43">
        <v>1</v>
      </c>
      <c r="G11" s="51">
        <f>세부내역!M25</f>
        <v>343169</v>
      </c>
      <c r="H11" s="51">
        <f>F11*G11</f>
        <v>343169</v>
      </c>
      <c r="I11" s="44"/>
      <c r="J11" s="2"/>
    </row>
    <row r="12" spans="1:15" ht="24" customHeight="1">
      <c r="A12" s="2"/>
      <c r="B12" s="217" t="s">
        <v>0</v>
      </c>
      <c r="C12" s="218"/>
      <c r="D12" s="218"/>
      <c r="E12" s="191"/>
      <c r="F12" s="191"/>
      <c r="G12" s="192"/>
      <c r="H12" s="192">
        <f>ROUNDDOWN(SUM(H11:H11),-3)</f>
        <v>343000</v>
      </c>
      <c r="I12" s="193" t="s">
        <v>30</v>
      </c>
      <c r="J12" s="2"/>
      <c r="L12" s="18"/>
      <c r="M12" s="18"/>
      <c r="N12" s="18"/>
    </row>
    <row r="13" spans="1:15" ht="24" customHeight="1">
      <c r="A13" s="2"/>
      <c r="B13" s="28"/>
      <c r="C13" s="29"/>
      <c r="D13" s="30"/>
      <c r="E13" s="30"/>
      <c r="F13" s="30"/>
      <c r="G13" s="30"/>
      <c r="H13" s="30"/>
      <c r="I13" s="31"/>
      <c r="J13" s="2"/>
      <c r="L13" s="18"/>
      <c r="M13" s="18"/>
      <c r="N13" s="18"/>
      <c r="O13" s="19"/>
    </row>
    <row r="14" spans="1:15" ht="24" customHeight="1">
      <c r="A14" s="2"/>
      <c r="B14" s="32"/>
      <c r="C14" s="33"/>
      <c r="D14" s="34"/>
      <c r="E14" s="34"/>
      <c r="F14" s="34"/>
      <c r="G14" s="34"/>
      <c r="H14" s="34"/>
      <c r="I14" s="35"/>
      <c r="J14" s="2"/>
      <c r="L14" s="18"/>
      <c r="M14" s="18"/>
      <c r="N14" s="18"/>
    </row>
    <row r="15" spans="1:15" ht="24" customHeight="1">
      <c r="A15" s="2"/>
      <c r="B15" s="32"/>
      <c r="C15" s="33"/>
      <c r="D15" s="34"/>
      <c r="E15" s="34"/>
      <c r="F15" s="34"/>
      <c r="G15" s="34"/>
      <c r="H15" s="34"/>
      <c r="I15" s="35"/>
      <c r="J15" s="2"/>
      <c r="L15" s="18"/>
      <c r="M15" s="18"/>
      <c r="N15" s="18"/>
    </row>
    <row r="16" spans="1:15" ht="24" customHeight="1">
      <c r="A16" s="2"/>
      <c r="B16" s="32"/>
      <c r="C16" s="33"/>
      <c r="D16" s="34"/>
      <c r="E16" s="34"/>
      <c r="F16" s="34"/>
      <c r="G16" s="34"/>
      <c r="H16" s="34"/>
      <c r="I16" s="35"/>
      <c r="J16" s="2"/>
      <c r="L16" s="18"/>
      <c r="M16" s="18"/>
      <c r="N16" s="18"/>
    </row>
    <row r="17" spans="1:14" ht="24" customHeight="1">
      <c r="A17" s="2"/>
      <c r="B17" s="32"/>
      <c r="C17" s="33"/>
      <c r="D17" s="34"/>
      <c r="E17" s="34"/>
      <c r="F17" s="34"/>
      <c r="G17" s="34"/>
      <c r="H17" s="34"/>
      <c r="I17" s="35"/>
      <c r="J17" s="2"/>
      <c r="L17" s="18"/>
      <c r="M17" s="18"/>
      <c r="N17" s="18"/>
    </row>
    <row r="18" spans="1:14" ht="24" customHeight="1">
      <c r="A18" s="2"/>
      <c r="B18" s="36"/>
      <c r="C18" s="37"/>
      <c r="D18" s="38"/>
      <c r="E18" s="38"/>
      <c r="F18" s="38"/>
      <c r="G18" s="39"/>
      <c r="H18" s="39"/>
      <c r="I18" s="40"/>
      <c r="J18" s="2"/>
    </row>
    <row r="19" spans="1:14" ht="24" customHeight="1">
      <c r="A19" s="2"/>
      <c r="B19" s="219" t="s">
        <v>8</v>
      </c>
      <c r="C19" s="221" t="s">
        <v>51</v>
      </c>
      <c r="D19" s="222"/>
      <c r="E19" s="222"/>
      <c r="F19" s="222"/>
      <c r="G19" s="222"/>
      <c r="H19" s="222"/>
      <c r="I19" s="223"/>
      <c r="J19" s="2"/>
    </row>
    <row r="20" spans="1:14" ht="24" customHeight="1" thickBot="1">
      <c r="A20" s="3"/>
      <c r="B20" s="220"/>
      <c r="C20" s="224"/>
      <c r="D20" s="225"/>
      <c r="E20" s="225"/>
      <c r="F20" s="225"/>
      <c r="G20" s="225"/>
      <c r="H20" s="225"/>
      <c r="I20" s="226"/>
      <c r="J20" s="3"/>
    </row>
    <row r="21" spans="1:14" ht="10" customHeight="1">
      <c r="A21" s="4"/>
      <c r="B21" s="5"/>
      <c r="C21" s="7"/>
      <c r="D21" s="9"/>
      <c r="E21" s="11"/>
      <c r="F21" s="14"/>
      <c r="G21" s="4"/>
      <c r="H21" s="4"/>
      <c r="I21" s="4"/>
      <c r="J21" s="20"/>
    </row>
    <row r="22" spans="1:14" ht="10.199999999999999" customHeight="1"/>
  </sheetData>
  <customSheetViews>
    <customSheetView guid="{1FA04683-E8B6-40FB-A56A-4A427B1A01C5}" showPageBreaks="1" fitToPage="1" printArea="1" view="pageBreakPreview">
      <pageMargins left="0.11811023622047245" right="0.11811023622047245" top="0.74803149606299213" bottom="0.15748031496062992" header="0.31496062992125984" footer="0.31496062992125984"/>
      <printOptions horizontalCentered="1"/>
      <pageSetup paperSize="9" fitToHeight="0" orientation="landscape"/>
      <headerFooter scaleWithDoc="0">
        <oddFooter>&amp;C&amp;P / &amp;N&amp;R㈜서울영상테크</oddFooter>
      </headerFooter>
    </customSheetView>
  </customSheetViews>
  <mergeCells count="5">
    <mergeCell ref="B12:D12"/>
    <mergeCell ref="B19:B20"/>
    <mergeCell ref="C19:I19"/>
    <mergeCell ref="C20:I20"/>
    <mergeCell ref="B1:I1"/>
  </mergeCells>
  <phoneticPr fontId="1" type="noConversion"/>
  <conditionalFormatting sqref="N16:N17">
    <cfRule type="cellIs" dxfId="0" priority="3" operator="lessThan">
      <formula>0</formula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98" fitToHeight="0" orientation="landscape"/>
  <headerFooter scaleWithDoc="0">
    <oddFooter xml:space="preserve">&amp;C&amp;P / &amp;N&amp;R㈜서울영상테크   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S419"/>
  <sheetViews>
    <sheetView view="pageBreakPreview" zoomScaleNormal="100" zoomScaleSheetLayoutView="100" workbookViewId="0">
      <pane xSplit="6" ySplit="3" topLeftCell="G4" activePane="bottomRight" state="frozen"/>
      <selection pane="topRight"/>
      <selection pane="bottomLeft"/>
      <selection pane="bottomRight" sqref="A1:O1"/>
    </sheetView>
  </sheetViews>
  <sheetFormatPr defaultColWidth="9" defaultRowHeight="15" outlineLevelCol="1"/>
  <cols>
    <col min="1" max="1" width="5.640625" style="21" customWidth="1"/>
    <col min="2" max="3" width="28.640625" style="24" customWidth="1"/>
    <col min="4" max="4" width="28.640625" style="147" customWidth="1" outlineLevel="1"/>
    <col min="5" max="5" width="6.640625" style="21" customWidth="1"/>
    <col min="6" max="6" width="6.640625" style="75" customWidth="1"/>
    <col min="7" max="8" width="12.640625" style="187" customWidth="1" outlineLevel="1"/>
    <col min="9" max="13" width="12.640625" style="67" customWidth="1"/>
    <col min="14" max="14" width="12.640625" style="187" customWidth="1" outlineLevel="1"/>
    <col min="15" max="15" width="20.640625" style="76" customWidth="1"/>
    <col min="16" max="16" width="20.640625" style="115" customWidth="1"/>
    <col min="17" max="18" width="20.640625" style="21" customWidth="1"/>
    <col min="19" max="19" width="34.640625" style="21" customWidth="1"/>
    <col min="20" max="67" width="9" style="21"/>
    <col min="68" max="68" width="24.640625" style="24" customWidth="1"/>
    <col min="69" max="16384" width="9" style="21"/>
  </cols>
  <sheetData>
    <row r="1" spans="1:71" s="74" customFormat="1" ht="21" customHeight="1" thickBot="1">
      <c r="A1" s="234" t="str">
        <f>"▣ 공사명 : "&amp;갑지!C5</f>
        <v>▣ 공사명 : 설치 or 공사 끝맺음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149"/>
      <c r="BP1" s="92"/>
    </row>
    <row r="2" spans="1:71" s="27" customFormat="1" ht="21" customHeight="1">
      <c r="A2" s="235" t="s">
        <v>7</v>
      </c>
      <c r="B2" s="237" t="s">
        <v>29</v>
      </c>
      <c r="C2" s="239" t="s">
        <v>27</v>
      </c>
      <c r="D2" s="249" t="s">
        <v>52</v>
      </c>
      <c r="E2" s="241" t="s">
        <v>2</v>
      </c>
      <c r="F2" s="243" t="s">
        <v>5</v>
      </c>
      <c r="G2" s="251" t="s">
        <v>71</v>
      </c>
      <c r="H2" s="251"/>
      <c r="I2" s="245" t="s">
        <v>11</v>
      </c>
      <c r="J2" s="245"/>
      <c r="K2" s="245" t="s">
        <v>12</v>
      </c>
      <c r="L2" s="245"/>
      <c r="M2" s="245" t="s">
        <v>15</v>
      </c>
      <c r="N2" s="252" t="s">
        <v>72</v>
      </c>
      <c r="O2" s="247" t="s">
        <v>8</v>
      </c>
      <c r="P2" s="254" t="s">
        <v>56</v>
      </c>
      <c r="Q2" s="255" t="s">
        <v>57</v>
      </c>
      <c r="R2" s="255" t="s">
        <v>58</v>
      </c>
      <c r="T2" s="256" t="s">
        <v>59</v>
      </c>
      <c r="U2" s="150" t="s">
        <v>60</v>
      </c>
      <c r="V2" s="151" t="s">
        <v>82</v>
      </c>
      <c r="W2" s="258" t="s">
        <v>61</v>
      </c>
      <c r="X2" s="258"/>
      <c r="Y2" s="258" t="s">
        <v>73</v>
      </c>
      <c r="Z2" s="258"/>
      <c r="AA2" s="258" t="s">
        <v>74</v>
      </c>
      <c r="AB2" s="258"/>
      <c r="AC2" s="258" t="s">
        <v>75</v>
      </c>
      <c r="AD2" s="258"/>
      <c r="AE2" s="258" t="s">
        <v>76</v>
      </c>
      <c r="AF2" s="258"/>
      <c r="AG2" s="258" t="s">
        <v>77</v>
      </c>
      <c r="AH2" s="258"/>
      <c r="AI2" s="258" t="s">
        <v>78</v>
      </c>
      <c r="AJ2" s="258"/>
      <c r="AK2" s="258" t="s">
        <v>62</v>
      </c>
      <c r="AL2" s="258"/>
      <c r="AM2" s="258" t="s">
        <v>79</v>
      </c>
      <c r="AN2" s="258"/>
      <c r="AO2" s="258" t="s">
        <v>80</v>
      </c>
      <c r="AP2" s="258"/>
      <c r="AQ2" s="258" t="s">
        <v>63</v>
      </c>
      <c r="AR2" s="258"/>
      <c r="AS2" s="258" t="s">
        <v>81</v>
      </c>
      <c r="AT2" s="258"/>
      <c r="AU2" s="258" t="s">
        <v>64</v>
      </c>
      <c r="AV2" s="258"/>
      <c r="AW2" s="258" t="s">
        <v>65</v>
      </c>
      <c r="AX2" s="258"/>
      <c r="AY2" s="258" t="s">
        <v>66</v>
      </c>
      <c r="AZ2" s="258"/>
      <c r="BA2" s="260" t="s">
        <v>67</v>
      </c>
      <c r="BB2" s="260"/>
      <c r="BC2" s="259" t="s">
        <v>68</v>
      </c>
      <c r="BD2" s="259"/>
      <c r="BP2" s="93"/>
    </row>
    <row r="3" spans="1:71" s="27" customFormat="1" ht="21" customHeight="1">
      <c r="A3" s="236"/>
      <c r="B3" s="238"/>
      <c r="C3" s="240"/>
      <c r="D3" s="250"/>
      <c r="E3" s="242"/>
      <c r="F3" s="244"/>
      <c r="G3" s="176" t="s">
        <v>9</v>
      </c>
      <c r="H3" s="176" t="s">
        <v>3</v>
      </c>
      <c r="I3" s="94" t="s">
        <v>9</v>
      </c>
      <c r="J3" s="94" t="s">
        <v>3</v>
      </c>
      <c r="K3" s="94" t="s">
        <v>9</v>
      </c>
      <c r="L3" s="94" t="s">
        <v>3</v>
      </c>
      <c r="M3" s="246"/>
      <c r="N3" s="253"/>
      <c r="O3" s="248"/>
      <c r="P3" s="254"/>
      <c r="Q3" s="255"/>
      <c r="R3" s="255"/>
      <c r="T3" s="257"/>
      <c r="U3" s="150">
        <v>0</v>
      </c>
      <c r="V3" s="151" t="s">
        <v>69</v>
      </c>
      <c r="W3" s="153" t="s">
        <v>70</v>
      </c>
      <c r="X3" s="151">
        <v>324979</v>
      </c>
      <c r="Y3" s="153" t="s">
        <v>70</v>
      </c>
      <c r="Z3" s="151">
        <v>304662</v>
      </c>
      <c r="AA3" s="153" t="s">
        <v>70</v>
      </c>
      <c r="AB3" s="151">
        <v>316875</v>
      </c>
      <c r="AC3" s="153" t="s">
        <v>70</v>
      </c>
      <c r="AD3" s="151">
        <v>172698</v>
      </c>
      <c r="AE3" s="153" t="s">
        <v>70</v>
      </c>
      <c r="AF3" s="151">
        <v>286219</v>
      </c>
      <c r="AG3" s="153" t="s">
        <v>70</v>
      </c>
      <c r="AH3" s="151">
        <v>360084</v>
      </c>
      <c r="AI3" s="153" t="s">
        <v>70</v>
      </c>
      <c r="AJ3" s="151">
        <v>306274</v>
      </c>
      <c r="AK3" s="153" t="s">
        <v>70</v>
      </c>
      <c r="AL3" s="151">
        <v>438070</v>
      </c>
      <c r="AM3" s="153" t="s">
        <v>70</v>
      </c>
      <c r="AN3" s="151">
        <v>276108</v>
      </c>
      <c r="AO3" s="153" t="s">
        <v>70</v>
      </c>
      <c r="AP3" s="151">
        <v>234041</v>
      </c>
      <c r="AQ3" s="153" t="s">
        <v>70</v>
      </c>
      <c r="AR3" s="151">
        <v>258904</v>
      </c>
      <c r="AS3" s="153" t="s">
        <v>70</v>
      </c>
      <c r="AT3" s="151">
        <v>471931</v>
      </c>
      <c r="AU3" s="153" t="s">
        <v>70</v>
      </c>
      <c r="AV3" s="151">
        <v>398279</v>
      </c>
      <c r="AW3" s="151" t="s">
        <v>70</v>
      </c>
      <c r="AX3" s="151">
        <v>446560</v>
      </c>
      <c r="AY3" s="153" t="s">
        <v>70</v>
      </c>
      <c r="AZ3" s="151">
        <v>228717</v>
      </c>
      <c r="BA3" s="151" t="s">
        <v>70</v>
      </c>
      <c r="BB3" s="151">
        <v>250000</v>
      </c>
      <c r="BC3" s="154" t="s">
        <v>70</v>
      </c>
      <c r="BD3" s="151">
        <v>282990</v>
      </c>
      <c r="BP3" s="93"/>
    </row>
    <row r="4" spans="1:71" s="27" customFormat="1" ht="21" customHeight="1">
      <c r="A4" s="108" t="s">
        <v>6</v>
      </c>
      <c r="B4" s="81" t="s">
        <v>31</v>
      </c>
      <c r="C4" s="82"/>
      <c r="D4" s="136"/>
      <c r="E4" s="83"/>
      <c r="F4" s="84"/>
      <c r="G4" s="178"/>
      <c r="H4" s="179"/>
      <c r="I4" s="52"/>
      <c r="J4" s="80"/>
      <c r="K4" s="80"/>
      <c r="L4" s="80"/>
      <c r="M4" s="80"/>
      <c r="N4" s="179"/>
      <c r="O4" s="126"/>
      <c r="P4" s="155"/>
      <c r="Q4" s="156"/>
      <c r="R4" s="156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P4" s="72"/>
    </row>
    <row r="5" spans="1:71" ht="21" customHeight="1">
      <c r="A5" s="98"/>
      <c r="B5" s="99"/>
      <c r="C5" s="100"/>
      <c r="D5" s="137"/>
      <c r="E5" s="101"/>
      <c r="F5" s="55"/>
      <c r="G5" s="180"/>
      <c r="H5" s="181"/>
      <c r="I5" s="56"/>
      <c r="J5" s="102"/>
      <c r="K5" s="22"/>
      <c r="L5" s="102"/>
      <c r="M5" s="22"/>
      <c r="N5" s="182"/>
      <c r="O5" s="103"/>
      <c r="P5" s="158"/>
      <c r="Q5" s="159"/>
      <c r="R5" s="159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</row>
    <row r="6" spans="1:71" ht="21" customHeight="1">
      <c r="A6" s="79"/>
      <c r="B6" s="54"/>
      <c r="C6" s="62"/>
      <c r="D6" s="138"/>
      <c r="E6" s="56"/>
      <c r="F6" s="55"/>
      <c r="G6" s="182"/>
      <c r="H6" s="177">
        <f t="shared" ref="H6:H14" si="0">F6*G6</f>
      </c>
      <c r="I6" s="22"/>
      <c r="J6" s="22">
        <f t="shared" ref="J6:J14" si="1">I6*F6</f>
      </c>
      <c r="K6" s="22">
        <f t="shared" ref="K6:K14" si="2">INT(SUM((U6*V6),V6)*T6)</f>
      </c>
      <c r="L6" s="56">
        <f t="shared" ref="L6:L14" si="3">F6*K6</f>
      </c>
      <c r="M6" s="22">
        <f t="shared" ref="M6:M7" si="4">+J6+L6</f>
      </c>
      <c r="N6" s="188">
        <f t="shared" ref="N6:N14" si="5">IFERROR((I6/G6)-1,"-")</f>
      </c>
      <c r="O6" s="127"/>
      <c r="P6" s="161"/>
      <c r="Q6" s="162"/>
      <c r="R6" s="163"/>
      <c r="S6" s="164"/>
      <c r="T6" s="152"/>
      <c r="U6" s="165"/>
      <c r="V6" s="151">
        <f t="shared" ref="V6" si="6">SUM(X6,Z6,AB6,AD6,AF6,AH6,AJ6,AL6,AN6,AP6,AR6,AT6,AV6,AX6,AZ6,BB6,BD6)</f>
      </c>
      <c r="W6" s="166">
        <f t="shared" ref="W6" si="7">0.7+0.59</f>
      </c>
      <c r="X6" s="151">
        <f t="shared" ref="X6" si="8">W6*X$3</f>
      </c>
      <c r="Y6" s="166">
        <f t="shared" ref="Y6" si="9">0.5+0.3+0.7+0.89</f>
      </c>
      <c r="Z6" s="151">
        <f t="shared" ref="Z6" si="10">Y6*Z$3</f>
      </c>
      <c r="AA6" s="166"/>
      <c r="AB6" s="151">
        <f t="shared" ref="AB6" si="11">AA6*AB$3</f>
      </c>
      <c r="AC6" s="166"/>
      <c r="AD6" s="151">
        <f t="shared" ref="AD6" si="12">AC6*AD$3</f>
      </c>
      <c r="AE6" s="167"/>
      <c r="AF6" s="151">
        <f t="shared" ref="AF6" si="13">AE6*AF$3</f>
      </c>
      <c r="AG6" s="168"/>
      <c r="AH6" s="151">
        <f t="shared" ref="AH6" si="14">AG6*AH$3</f>
      </c>
      <c r="AI6" s="168"/>
      <c r="AJ6" s="151">
        <f t="shared" ref="AJ6" si="15">AI6*AJ$3</f>
      </c>
      <c r="AK6" s="168"/>
      <c r="AL6" s="151">
        <f t="shared" ref="AL6" si="16">AK6*AL$3</f>
      </c>
      <c r="AM6" s="168"/>
      <c r="AN6" s="151">
        <f t="shared" ref="AN6" si="17">AM6*AN$3</f>
      </c>
      <c r="AO6" s="168"/>
      <c r="AP6" s="151">
        <f t="shared" ref="AP6" si="18">AO6*AP$3</f>
      </c>
      <c r="AQ6" s="168"/>
      <c r="AR6" s="151">
        <f t="shared" ref="AR6" si="19">AQ6*AR$3</f>
      </c>
      <c r="AS6" s="168"/>
      <c r="AT6" s="151">
        <f t="shared" ref="AT6" si="20">AS6*AT$3</f>
      </c>
      <c r="AU6" s="168"/>
      <c r="AV6" s="151">
        <f t="shared" ref="AV6" si="21">AU6*AV$3</f>
      </c>
      <c r="AW6" s="168"/>
      <c r="AX6" s="151">
        <f t="shared" ref="AX6" si="22">AW6*AX$3</f>
      </c>
      <c r="AY6" s="168"/>
      <c r="AZ6" s="151">
        <f t="shared" ref="AZ6" si="23">AY6*AZ$3</f>
      </c>
      <c r="BA6" s="167"/>
      <c r="BB6" s="151">
        <f t="shared" ref="BB6" si="24">BA6*BB$3</f>
      </c>
      <c r="BC6" s="169"/>
      <c r="BD6" s="151">
        <f t="shared" ref="BD6" si="25">BC6*BD$3</f>
      </c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</row>
    <row r="7" spans="1:71" ht="21" customHeight="1">
      <c r="A7" s="79">
        <f>A6+1</f>
      </c>
      <c r="B7" s="25"/>
      <c r="C7" s="73"/>
      <c r="D7" s="139"/>
      <c r="E7" s="57"/>
      <c r="F7" s="55">
        <f>F6</f>
      </c>
      <c r="G7" s="182"/>
      <c r="H7" s="177">
        <f t="shared" si="0"/>
      </c>
      <c r="I7" s="22"/>
      <c r="J7" s="22">
        <f t="shared" si="1"/>
      </c>
      <c r="K7" s="22">
        <f t="shared" si="2"/>
      </c>
      <c r="L7" s="56">
        <f t="shared" si="3"/>
      </c>
      <c r="M7" s="22">
        <f t="shared" si="4"/>
      </c>
      <c r="N7" s="188">
        <f t="shared" si="5"/>
      </c>
      <c r="O7" s="128"/>
      <c r="P7" s="171"/>
      <c r="Q7" s="160"/>
      <c r="R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</row>
    <row r="8" spans="1:71" ht="21" customHeight="1">
      <c r="A8" s="79">
        <f t="shared" ref="A8:A14" si="26">A7+1</f>
      </c>
      <c r="B8" s="25"/>
      <c r="C8" s="73"/>
      <c r="D8" s="139"/>
      <c r="E8" s="57"/>
      <c r="F8" s="55">
        <f>F6</f>
      </c>
      <c r="G8" s="182"/>
      <c r="H8" s="177">
        <f t="shared" si="0"/>
      </c>
      <c r="I8" s="23"/>
      <c r="J8" s="22">
        <f t="shared" si="1"/>
      </c>
      <c r="K8" s="22">
        <f t="shared" si="2"/>
      </c>
      <c r="L8" s="56">
        <f t="shared" si="3"/>
      </c>
      <c r="M8" s="22">
        <f t="shared" ref="M8:M14" si="27">+J8+L8</f>
      </c>
      <c r="N8" s="188">
        <f t="shared" si="5"/>
      </c>
      <c r="O8" s="128"/>
      <c r="P8" s="171"/>
      <c r="Q8" s="160"/>
      <c r="R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</row>
    <row r="9" spans="1:71" ht="21" customHeight="1">
      <c r="A9" s="79">
        <f t="shared" si="26"/>
      </c>
      <c r="B9" s="54"/>
      <c r="C9" s="73"/>
      <c r="D9" s="139"/>
      <c r="E9" s="57"/>
      <c r="F9" s="55">
        <f>F6</f>
      </c>
      <c r="G9" s="182"/>
      <c r="H9" s="177">
        <f t="shared" si="0"/>
      </c>
      <c r="I9" s="22"/>
      <c r="J9" s="22">
        <f t="shared" si="1"/>
      </c>
      <c r="K9" s="22">
        <f t="shared" si="2"/>
      </c>
      <c r="L9" s="56">
        <f t="shared" si="3"/>
      </c>
      <c r="M9" s="22">
        <f t="shared" si="27"/>
      </c>
      <c r="N9" s="188">
        <f t="shared" si="5"/>
      </c>
      <c r="O9" s="129"/>
      <c r="P9" s="171"/>
      <c r="Q9" s="160"/>
      <c r="R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</row>
    <row r="10" spans="1:71" ht="21" customHeight="1">
      <c r="A10" s="79">
        <f t="shared" si="26"/>
      </c>
      <c r="B10" s="73"/>
      <c r="C10" s="77"/>
      <c r="D10" s="140"/>
      <c r="E10" s="53"/>
      <c r="F10" s="59">
        <f>F6</f>
      </c>
      <c r="G10" s="182"/>
      <c r="H10" s="177">
        <f t="shared" si="0"/>
      </c>
      <c r="I10" s="22"/>
      <c r="J10" s="22">
        <f t="shared" si="1"/>
      </c>
      <c r="K10" s="22">
        <f t="shared" si="2"/>
      </c>
      <c r="L10" s="56">
        <f t="shared" si="3"/>
      </c>
      <c r="M10" s="22">
        <f t="shared" si="27"/>
      </c>
      <c r="N10" s="188">
        <f t="shared" si="5"/>
      </c>
      <c r="O10" s="129"/>
      <c r="P10" s="172"/>
      <c r="Q10" s="160"/>
      <c r="R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P10" s="86"/>
    </row>
    <row r="11" spans="1:71" ht="21" customHeight="1">
      <c r="A11" s="79">
        <f t="shared" si="26"/>
      </c>
      <c r="B11" s="54"/>
      <c r="C11" s="60"/>
      <c r="D11" s="141"/>
      <c r="E11" s="56"/>
      <c r="F11" s="55">
        <f>F6</f>
      </c>
      <c r="G11" s="182"/>
      <c r="H11" s="177">
        <f t="shared" si="0"/>
      </c>
      <c r="I11" s="22"/>
      <c r="J11" s="22">
        <f t="shared" si="1"/>
      </c>
      <c r="K11" s="22">
        <f t="shared" si="2"/>
      </c>
      <c r="L11" s="56">
        <f t="shared" si="3"/>
      </c>
      <c r="M11" s="22">
        <f t="shared" si="27"/>
      </c>
      <c r="N11" s="188">
        <f t="shared" si="5"/>
      </c>
      <c r="O11" s="129"/>
      <c r="P11" s="173"/>
      <c r="Q11" s="160"/>
      <c r="R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P11" s="85"/>
    </row>
    <row r="12" spans="1:71" s="27" customFormat="1" ht="21" customHeight="1">
      <c r="A12" s="79">
        <f t="shared" si="26"/>
      </c>
      <c r="B12" s="70"/>
      <c r="C12" s="95"/>
      <c r="D12" s="142"/>
      <c r="E12" s="78"/>
      <c r="F12" s="59">
        <f>F6*2</f>
      </c>
      <c r="G12" s="182"/>
      <c r="H12" s="177">
        <f t="shared" si="0"/>
      </c>
      <c r="I12" s="23"/>
      <c r="J12" s="22">
        <f t="shared" si="1"/>
      </c>
      <c r="K12" s="22">
        <f t="shared" si="2"/>
      </c>
      <c r="L12" s="56">
        <f t="shared" si="3"/>
      </c>
      <c r="M12" s="22">
        <f t="shared" si="27"/>
      </c>
      <c r="N12" s="188">
        <f t="shared" si="5"/>
      </c>
      <c r="O12" s="130"/>
      <c r="P12" s="174"/>
      <c r="Q12" s="157"/>
      <c r="R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P12" s="88"/>
    </row>
    <row r="13" spans="1:71" s="27" customFormat="1" ht="21" customHeight="1">
      <c r="A13" s="79">
        <f t="shared" si="26"/>
        <v>8</v>
      </c>
      <c r="B13" s="70" t="s">
        <v>23</v>
      </c>
      <c r="C13" s="71" t="s">
        <v>24</v>
      </c>
      <c r="D13" s="142"/>
      <c r="E13" s="78" t="s">
        <v>10</v>
      </c>
      <c r="F13" s="59">
        <v>1</v>
      </c>
      <c r="G13" s="183"/>
      <c r="H13" s="177">
        <f t="shared" si="0"/>
        <v>0</v>
      </c>
      <c r="I13" s="53">
        <f>J12*40%</f>
        <v>4800</v>
      </c>
      <c r="J13" s="22">
        <f t="shared" si="1"/>
        <v>4800</v>
      </c>
      <c r="K13" s="22">
        <f t="shared" si="2"/>
        <v>0</v>
      </c>
      <c r="L13" s="56">
        <f t="shared" si="3"/>
        <v>0</v>
      </c>
      <c r="M13" s="22">
        <f t="shared" si="27"/>
        <v>4800</v>
      </c>
      <c r="N13" s="188" t="str">
        <f t="shared" si="5"/>
        <v>-</v>
      </c>
      <c r="O13" s="129"/>
      <c r="P13" s="174"/>
      <c r="Q13" s="157"/>
      <c r="R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P13" s="88"/>
    </row>
    <row r="14" spans="1:71" ht="21" customHeight="1">
      <c r="A14" s="97">
        <f t="shared" si="26"/>
        <v>9</v>
      </c>
      <c r="B14" s="68" t="s">
        <v>16</v>
      </c>
      <c r="C14" s="90" t="s">
        <v>26</v>
      </c>
      <c r="D14" s="143"/>
      <c r="E14" s="61" t="s">
        <v>17</v>
      </c>
      <c r="F14" s="58">
        <v>1</v>
      </c>
      <c r="G14" s="184">
        <f>INT(SUM(H6:H13)*2%)</f>
        <v>0</v>
      </c>
      <c r="H14" s="190">
        <f t="shared" si="0"/>
        <v>0</v>
      </c>
      <c r="I14" s="91">
        <f>INT(SUM(J6:J13)*2%)</f>
        <v>336</v>
      </c>
      <c r="J14" s="26">
        <f t="shared" si="1"/>
        <v>336</v>
      </c>
      <c r="K14" s="26">
        <f t="shared" si="2"/>
        <v>0</v>
      </c>
      <c r="L14" s="61">
        <f t="shared" si="3"/>
        <v>0</v>
      </c>
      <c r="M14" s="26">
        <f t="shared" si="27"/>
        <v>336</v>
      </c>
      <c r="N14" s="189" t="str">
        <f t="shared" si="5"/>
        <v>-</v>
      </c>
      <c r="O14" s="131"/>
      <c r="P14" s="175"/>
      <c r="Q14" s="160"/>
      <c r="R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P14" s="89"/>
    </row>
    <row r="15" spans="1:71" s="69" customFormat="1" ht="21" customHeight="1">
      <c r="A15" s="232" t="s">
        <v>25</v>
      </c>
      <c r="B15" s="233"/>
      <c r="C15" s="233"/>
      <c r="D15" s="202"/>
      <c r="E15" s="203"/>
      <c r="F15" s="201"/>
      <c r="G15" s="204"/>
      <c r="H15" s="204">
        <f>SUM(H6:H14)</f>
        <v>0</v>
      </c>
      <c r="I15" s="205"/>
      <c r="J15" s="205">
        <f>SUM(J6:J14)</f>
        <v>17136</v>
      </c>
      <c r="K15" s="205"/>
      <c r="L15" s="205">
        <f>SUM(L6:L14)</f>
        <v>288221</v>
      </c>
      <c r="M15" s="205">
        <f>SUM(M6:M14)</f>
        <v>305357</v>
      </c>
      <c r="N15" s="206" t="e">
        <f>AVERAGE(N6:N14)</f>
        <v>#DIV/0!</v>
      </c>
      <c r="O15" s="207"/>
      <c r="P15" s="87"/>
      <c r="BP15" s="87"/>
    </row>
    <row r="16" spans="1:71" ht="21" customHeight="1">
      <c r="A16" s="107" t="s">
        <v>40</v>
      </c>
      <c r="B16" s="109" t="s">
        <v>41</v>
      </c>
      <c r="C16" s="110"/>
      <c r="D16" s="144"/>
      <c r="E16" s="111"/>
      <c r="F16" s="112"/>
      <c r="G16" s="185"/>
      <c r="H16" s="186"/>
      <c r="I16" s="113"/>
      <c r="J16" s="114"/>
      <c r="K16" s="114"/>
      <c r="L16" s="114"/>
      <c r="M16" s="114"/>
      <c r="N16" s="186"/>
      <c r="O16" s="132"/>
      <c r="P16" s="72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115"/>
      <c r="BR16" s="116"/>
      <c r="BS16" s="117"/>
    </row>
    <row r="17" spans="1:71" ht="21" customHeight="1">
      <c r="A17" s="79">
        <v>1</v>
      </c>
      <c r="B17" s="23" t="s">
        <v>42</v>
      </c>
      <c r="C17" s="118" t="s">
        <v>14</v>
      </c>
      <c r="D17" s="145"/>
      <c r="E17" s="119" t="s">
        <v>43</v>
      </c>
      <c r="F17" s="124">
        <v>0.06</v>
      </c>
      <c r="G17" s="182"/>
      <c r="H17" s="182"/>
      <c r="I17" s="22"/>
      <c r="J17" s="22"/>
      <c r="K17" s="22"/>
      <c r="L17" s="22"/>
      <c r="M17" s="22">
        <f>INT(M15*F17)</f>
        <v>18321</v>
      </c>
      <c r="N17" s="182"/>
      <c r="O17" s="133"/>
      <c r="P17" s="72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115"/>
      <c r="BR17" s="116"/>
      <c r="BS17" s="117"/>
    </row>
    <row r="18" spans="1:71" ht="21" customHeight="1">
      <c r="A18" s="79">
        <v>2</v>
      </c>
      <c r="B18" s="120" t="s">
        <v>35</v>
      </c>
      <c r="C18" s="118" t="s">
        <v>14</v>
      </c>
      <c r="D18" s="145"/>
      <c r="E18" s="55" t="s">
        <v>10</v>
      </c>
      <c r="F18" s="124">
        <v>2.07E-2</v>
      </c>
      <c r="G18" s="182"/>
      <c r="H18" s="181"/>
      <c r="I18" s="22"/>
      <c r="J18" s="102"/>
      <c r="K18" s="102"/>
      <c r="L18" s="102"/>
      <c r="M18" s="22">
        <f>INT(M15*F18)</f>
        <v>6320</v>
      </c>
      <c r="N18" s="182"/>
      <c r="O18" s="133"/>
      <c r="P18" s="72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115"/>
      <c r="BR18" s="116"/>
      <c r="BS18" s="117"/>
    </row>
    <row r="19" spans="1:71" ht="21" customHeight="1">
      <c r="A19" s="79">
        <v>3</v>
      </c>
      <c r="B19" s="120" t="s">
        <v>44</v>
      </c>
      <c r="C19" s="118" t="s">
        <v>22</v>
      </c>
      <c r="D19" s="145"/>
      <c r="E19" s="55" t="s">
        <v>10</v>
      </c>
      <c r="F19" s="124">
        <v>4.5699999999999998E-2</v>
      </c>
      <c r="G19" s="182"/>
      <c r="H19" s="181"/>
      <c r="I19" s="22"/>
      <c r="J19" s="102"/>
      <c r="K19" s="102"/>
      <c r="L19" s="102"/>
      <c r="M19" s="22">
        <f>INT(L15*F19)</f>
        <v>13171</v>
      </c>
      <c r="N19" s="182"/>
      <c r="O19" s="133"/>
      <c r="P19" s="72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115"/>
      <c r="BR19" s="116"/>
      <c r="BS19" s="117"/>
    </row>
    <row r="20" spans="1:71" ht="21" customHeight="1">
      <c r="A20" s="79">
        <v>4</v>
      </c>
      <c r="B20" s="121" t="s">
        <v>45</v>
      </c>
      <c r="C20" s="122" t="s">
        <v>22</v>
      </c>
      <c r="D20" s="146"/>
      <c r="E20" s="55" t="s">
        <v>10</v>
      </c>
      <c r="F20" s="124">
        <v>2.3E-2</v>
      </c>
      <c r="G20" s="182"/>
      <c r="H20" s="181"/>
      <c r="I20" s="22"/>
      <c r="J20" s="102"/>
      <c r="K20" s="102"/>
      <c r="L20" s="102"/>
      <c r="M20" s="22">
        <v>0</v>
      </c>
      <c r="N20" s="182"/>
      <c r="O20" s="129"/>
      <c r="P20" s="72" t="s">
        <v>50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115"/>
      <c r="BR20" s="116"/>
      <c r="BS20" s="117"/>
    </row>
    <row r="21" spans="1:71" ht="21" customHeight="1">
      <c r="A21" s="79">
        <v>5</v>
      </c>
      <c r="B21" s="121" t="s">
        <v>46</v>
      </c>
      <c r="C21" s="118" t="s">
        <v>22</v>
      </c>
      <c r="D21" s="145"/>
      <c r="E21" s="55" t="s">
        <v>10</v>
      </c>
      <c r="F21" s="124">
        <v>4.4999999999999998E-2</v>
      </c>
      <c r="G21" s="182"/>
      <c r="H21" s="182"/>
      <c r="I21" s="22"/>
      <c r="J21" s="22"/>
      <c r="K21" s="22"/>
      <c r="L21" s="22"/>
      <c r="M21" s="22">
        <v>0</v>
      </c>
      <c r="N21" s="182"/>
      <c r="O21" s="134"/>
      <c r="P21" s="72" t="s">
        <v>32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115"/>
      <c r="BR21" s="116"/>
      <c r="BS21" s="117"/>
    </row>
    <row r="22" spans="1:71" ht="21" customHeight="1">
      <c r="A22" s="79">
        <v>6</v>
      </c>
      <c r="B22" s="120" t="s">
        <v>47</v>
      </c>
      <c r="C22" s="118" t="s">
        <v>22</v>
      </c>
      <c r="D22" s="145"/>
      <c r="E22" s="56" t="s">
        <v>10</v>
      </c>
      <c r="F22" s="124">
        <v>3.5450000000000002E-2</v>
      </c>
      <c r="G22" s="182"/>
      <c r="H22" s="181"/>
      <c r="I22" s="22"/>
      <c r="J22" s="102"/>
      <c r="K22" s="102"/>
      <c r="L22" s="102"/>
      <c r="M22" s="22">
        <v>0</v>
      </c>
      <c r="N22" s="182"/>
      <c r="O22" s="134"/>
      <c r="P22" s="72" t="s">
        <v>32</v>
      </c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115"/>
      <c r="BR22" s="116"/>
      <c r="BS22" s="117"/>
    </row>
    <row r="23" spans="1:71" ht="21" customHeight="1">
      <c r="A23" s="97">
        <v>7</v>
      </c>
      <c r="B23" s="120" t="s">
        <v>33</v>
      </c>
      <c r="C23" s="118" t="s">
        <v>34</v>
      </c>
      <c r="D23" s="145"/>
      <c r="E23" s="55" t="s">
        <v>10</v>
      </c>
      <c r="F23" s="125">
        <v>0.1295</v>
      </c>
      <c r="G23" s="182"/>
      <c r="H23" s="181"/>
      <c r="I23" s="22"/>
      <c r="J23" s="102"/>
      <c r="K23" s="102"/>
      <c r="L23" s="102"/>
      <c r="M23" s="22">
        <v>0</v>
      </c>
      <c r="N23" s="182"/>
      <c r="O23" s="135"/>
      <c r="P23" s="72" t="s">
        <v>32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115"/>
      <c r="BR23" s="116"/>
      <c r="BS23" s="117"/>
    </row>
    <row r="24" spans="1:71" ht="21" customHeight="1">
      <c r="A24" s="228" t="s">
        <v>48</v>
      </c>
      <c r="B24" s="229"/>
      <c r="C24" s="229"/>
      <c r="D24" s="208"/>
      <c r="E24" s="209"/>
      <c r="F24" s="209"/>
      <c r="G24" s="210"/>
      <c r="H24" s="211"/>
      <c r="I24" s="212"/>
      <c r="J24" s="213"/>
      <c r="K24" s="213"/>
      <c r="L24" s="213"/>
      <c r="M24" s="213">
        <f>SUM(M17:M23)</f>
        <v>37812</v>
      </c>
      <c r="N24" s="211"/>
      <c r="O24" s="214"/>
      <c r="P24" s="72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115"/>
      <c r="BR24" s="116"/>
      <c r="BS24" s="117"/>
    </row>
    <row r="25" spans="1:71" ht="21" customHeight="1" thickBot="1">
      <c r="A25" s="230" t="s">
        <v>28</v>
      </c>
      <c r="B25" s="231"/>
      <c r="C25" s="231"/>
      <c r="D25" s="195"/>
      <c r="E25" s="196"/>
      <c r="F25" s="196"/>
      <c r="G25" s="197"/>
      <c r="H25" s="197"/>
      <c r="I25" s="197"/>
      <c r="J25" s="197"/>
      <c r="K25" s="197"/>
      <c r="L25" s="194"/>
      <c r="M25" s="198">
        <f>M15+M24</f>
        <v>343169</v>
      </c>
      <c r="N25" s="199"/>
      <c r="O25" s="200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115"/>
      <c r="BR25" s="116"/>
      <c r="BS25" s="117"/>
    </row>
    <row r="26" spans="1:71" ht="21" customHeight="1">
      <c r="P26" s="215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1"/>
    </row>
    <row r="27" spans="1:71" ht="21" customHeight="1">
      <c r="P27" s="215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1"/>
    </row>
    <row r="28" spans="1:71" ht="21" customHeight="1">
      <c r="P28" s="216"/>
    </row>
    <row r="29" spans="1:71" ht="21" customHeight="1">
      <c r="P29" s="216"/>
    </row>
    <row r="30" spans="1:71" ht="21" customHeight="1"/>
    <row r="31" spans="1:71" ht="21" customHeight="1"/>
    <row r="32" spans="1:71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</sheetData>
  <customSheetViews>
    <customSheetView guid="{1FA04683-E8B6-40FB-A56A-4A427B1A01C5}" showPageBreaks="1" fitToPage="1" printArea="1" view="pageBreakPreview">
      <pane xSplit="5" ySplit="3" topLeftCell="F4" activePane="bottomRight" state="frozen"/>
      <selection pane="bottomRight" activeCell="B16" sqref="B16"/>
      <pageMargins left="0.31496062992125984" right="0.31496062992125984" top="0.74803149606299213" bottom="0.51181102362204722" header="0.31496062992125984" footer="0.31496062992125984"/>
      <printOptions horizontalCentered="1"/>
      <pageSetup paperSize="9" scale="82" fitToHeight="0" orientation="landscape"/>
      <headerFooter scaleWithDoc="0">
        <oddFooter>&amp;C&amp;P / &amp;N&amp;R㈜서울영상테크</oddFooter>
      </headerFooter>
    </customSheetView>
  </customSheetViews>
  <mergeCells count="37">
    <mergeCell ref="BC2:BD2"/>
    <mergeCell ref="AS2:AT2"/>
    <mergeCell ref="AU2:AV2"/>
    <mergeCell ref="AW2:AX2"/>
    <mergeCell ref="AY2:AZ2"/>
    <mergeCell ref="BA2:BB2"/>
    <mergeCell ref="AI2:AJ2"/>
    <mergeCell ref="AK2:AL2"/>
    <mergeCell ref="AM2:AN2"/>
    <mergeCell ref="AO2:AP2"/>
    <mergeCell ref="AQ2:AR2"/>
    <mergeCell ref="Y2:Z2"/>
    <mergeCell ref="AA2:AB2"/>
    <mergeCell ref="AC2:AD2"/>
    <mergeCell ref="AE2:AF2"/>
    <mergeCell ref="AG2:AH2"/>
    <mergeCell ref="P2:P3"/>
    <mergeCell ref="Q2:Q3"/>
    <mergeCell ref="R2:R3"/>
    <mergeCell ref="T2:T3"/>
    <mergeCell ref="W2:X2"/>
    <mergeCell ref="A24:C24"/>
    <mergeCell ref="A25:C25"/>
    <mergeCell ref="A15:C15"/>
    <mergeCell ref="A1:O1"/>
    <mergeCell ref="A2:A3"/>
    <mergeCell ref="B2:B3"/>
    <mergeCell ref="C2:C3"/>
    <mergeCell ref="E2:E3"/>
    <mergeCell ref="F2:F3"/>
    <mergeCell ref="I2:J2"/>
    <mergeCell ref="K2:L2"/>
    <mergeCell ref="M2:M3"/>
    <mergeCell ref="O2:O3"/>
    <mergeCell ref="D2:D3"/>
    <mergeCell ref="G2:H2"/>
    <mergeCell ref="N2:N3"/>
  </mergeCells>
  <phoneticPr fontId="1" type="noConversion"/>
  <conditionalFormatting sqref="N2:N3">
    <cfRule type="dataBar" priority="2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{187A8BB8-01DE-49AE-BB3A-106A8532FACA}</x14:id>
        </ext>
      </extLst>
    </cfRule>
  </conditionalFormatting>
  <conditionalFormatting sqref="N6:N14">
    <cfRule type="dataBar" priority="1">
      <dataBar>
        <cfvo type="percent" val="0"/>
        <cfvo type="percent" val="100"/>
        <color theme="4" tint="0.39997558519241921"/>
      </dataBar>
      <extLst>
        <ext xmlns:x14="http://schemas.microsoft.com/office/spreadsheetml/2009/9/main" uri="{B025F937-C7B1-47D3-B67F-A62EFF666E3E}">
          <x14:id>{B910EFDD-35C4-4D05-9A65-C8D9F083D6B7}</x14:id>
        </ext>
      </extLst>
    </cfRule>
  </conditionalFormatting>
  <printOptions horizontalCentered="1"/>
  <pageMargins left="0.11811023622047245" right="0.11811023622047245" top="0.74803149606299213" bottom="0.31496062992125984" header="0.31496062992125984" footer="0.15748031496062992"/>
  <pageSetup paperSize="9" scale="58" fitToHeight="0" orientation="landscape"/>
  <headerFooter scaleWithDoc="0">
    <oddFooter xml:space="preserve">&amp;C&amp;P / &amp;N&amp;R㈜서울영상테크    </oddFooter>
  </headerFooter>
  <ignoredErrors>
    <ignoredError sqref="F10:F12 I13:I14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7A8BB8-01DE-49AE-BB3A-106A8532FA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theme="4" tint="0.39997558519241921"/>
              <x14:negativeFillColor rgb="FFFF0000"/>
              <x14:negativeBorderColor rgb="FFFF0000"/>
              <x14:axisColor rgb="FF000000"/>
            </x14:dataBar>
          </x14:cfRule>
          <xm:sqref>N2:N3</xm:sqref>
        </x14:conditionalFormatting>
        <x14:conditionalFormatting xmlns:xm="http://schemas.microsoft.com/office/excel/2006/main">
          <x14:cfRule type="dataBar" id="{B910EFDD-35C4-4D05-9A65-C8D9F083D6B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theme="4" tint="0.39997558519241921"/>
              <x14:negativeFillColor rgb="FFFF0000"/>
              <x14:negativeBorderColor rgb="FFFF0000"/>
              <x14:axisColor rgb="FF000000"/>
            </x14:dataBar>
          </x14:cfRule>
          <xm:sqref>N6:N14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세부내역</vt:lpstr>
      <vt:lpstr>갑지!Print_Area</vt:lpstr>
      <vt:lpstr>세부내역!Print_Area</vt:lpstr>
      <vt:lpstr>세부내역!Print_Titles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AV-CPQ</dc:creator>
  <cp:lastModifiedBy>AV-CPQ</cp:lastModifiedBy>
</cp:coreProperties>
</file>